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op\Downloads\"/>
    </mc:Choice>
  </mc:AlternateContent>
  <xr:revisionPtr revIDLastSave="0" documentId="8_{98734506-0D5E-469E-9EB8-62723D4E06C5}" xr6:coauthVersionLast="47" xr6:coauthVersionMax="47" xr10:uidLastSave="{00000000-0000-0000-0000-000000000000}"/>
  <bookViews>
    <workbookView xWindow="-120" yWindow="-120" windowWidth="29040" windowHeight="17520" tabRatio="428" xr2:uid="{00000000-000D-0000-FFFF-FFFF00000000}"/>
  </bookViews>
  <sheets>
    <sheet name="BBDD Persona" sheetId="1" r:id="rId1"/>
    <sheet name="Hoja1" sheetId="3" state="hidden" r:id="rId2"/>
    <sheet name="Hoja2" sheetId="4" state="hidden" r:id="rId3"/>
    <sheet name="Hoja3" sheetId="5" state="hidden" r:id="rId4"/>
    <sheet name="hiddenSheet" sheetId="2" state="very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1" i="3"/>
</calcChain>
</file>

<file path=xl/sharedStrings.xml><?xml version="1.0" encoding="utf-8"?>
<sst xmlns="http://schemas.openxmlformats.org/spreadsheetml/2006/main" count="1463" uniqueCount="583">
  <si>
    <t>Indicador de Conexiones</t>
  </si>
  <si>
    <t>Rol de (Descripción)</t>
  </si>
  <si>
    <t>Rol Para (Descripción)</t>
  </si>
  <si>
    <t>Código de campaña</t>
  </si>
  <si>
    <t>Propietario CNX</t>
  </si>
  <si>
    <t>Descripción CNX</t>
  </si>
  <si>
    <t>UTM Campaign</t>
  </si>
  <si>
    <t>UTM Source</t>
  </si>
  <si>
    <t>UTM Medium</t>
  </si>
  <si>
    <t>UTM Content</t>
  </si>
  <si>
    <t>UTM Term</t>
  </si>
  <si>
    <t>Fecha de ingreso</t>
  </si>
  <si>
    <t>Comentario</t>
  </si>
  <si>
    <t>Sede</t>
  </si>
  <si>
    <t>Indicador participación a evento</t>
  </si>
  <si>
    <t>Código de Evento</t>
  </si>
  <si>
    <t>Inscrito</t>
  </si>
  <si>
    <t>Fecha de inscripción a evento</t>
  </si>
  <si>
    <t>Asistio a evento</t>
  </si>
  <si>
    <t>Fecha de asistencia a evento</t>
  </si>
  <si>
    <t>Confirmó</t>
  </si>
  <si>
    <t>Fecha de confirmación</t>
  </si>
  <si>
    <t>Pagó</t>
  </si>
  <si>
    <t>Descripción de participación</t>
  </si>
  <si>
    <t>Fuente Participación Evento</t>
  </si>
  <si>
    <t>Indicador de base de datos</t>
  </si>
  <si>
    <t>Código de base de datos</t>
  </si>
  <si>
    <t>Base de datos</t>
  </si>
  <si>
    <t>Indicador de Interes</t>
  </si>
  <si>
    <t>Interés 1</t>
  </si>
  <si>
    <t>Interés 2</t>
  </si>
  <si>
    <t>Interés 3</t>
  </si>
  <si>
    <t>Interés 4</t>
  </si>
  <si>
    <t>Interés 5</t>
  </si>
  <si>
    <t>Interés 6</t>
  </si>
  <si>
    <t>Interés 7</t>
  </si>
  <si>
    <t>Interés 8</t>
  </si>
  <si>
    <t>Interés 9</t>
  </si>
  <si>
    <t>Indicador autorización de datos</t>
  </si>
  <si>
    <t>Autorizacion uso datos por terceros</t>
  </si>
  <si>
    <t>Autorizacion uso datos por UP</t>
  </si>
  <si>
    <t>Entity ID</t>
  </si>
  <si>
    <t>Power Campus ID</t>
  </si>
  <si>
    <t>Tipo de documento</t>
  </si>
  <si>
    <t>Número de documento</t>
  </si>
  <si>
    <t>Tema</t>
  </si>
  <si>
    <t>Primer nombre</t>
  </si>
  <si>
    <t>Segundo y tercer nombre</t>
  </si>
  <si>
    <t>Apellido paterno</t>
  </si>
  <si>
    <t>Apellido materno</t>
  </si>
  <si>
    <t>Descripción</t>
  </si>
  <si>
    <t>Número de Secuencia</t>
  </si>
  <si>
    <t>Saludo</t>
  </si>
  <si>
    <t>Alias</t>
  </si>
  <si>
    <t>País de origen (Código)</t>
  </si>
  <si>
    <t>Fecha de Nacimiento</t>
  </si>
  <si>
    <t>Género</t>
  </si>
  <si>
    <t>Estado civil</t>
  </si>
  <si>
    <t>Tipo de teléfono #1</t>
  </si>
  <si>
    <t>Tipo de teléfono #2</t>
  </si>
  <si>
    <t>Tipo de teléfono #3</t>
  </si>
  <si>
    <t>Tipo de teléfono #4</t>
  </si>
  <si>
    <t>Tipo de teléfono #5</t>
  </si>
  <si>
    <t>Número de teléfono #1</t>
  </si>
  <si>
    <t>Número de teléfono #2</t>
  </si>
  <si>
    <t>Número de teléfono #3</t>
  </si>
  <si>
    <t>Número de teléfono #4</t>
  </si>
  <si>
    <t>Número de teléfono #5</t>
  </si>
  <si>
    <t>Anexo #1</t>
  </si>
  <si>
    <t>Anexo #2</t>
  </si>
  <si>
    <t>Anexo #3</t>
  </si>
  <si>
    <t>Anexo #4</t>
  </si>
  <si>
    <t>Anexo #5</t>
  </si>
  <si>
    <t>Telefono Principal #1</t>
  </si>
  <si>
    <t>Telefono Principal #2</t>
  </si>
  <si>
    <t>Telefono Principal #3</t>
  </si>
  <si>
    <t>Telefono Principal #4</t>
  </si>
  <si>
    <t>Telefono Principal #5</t>
  </si>
  <si>
    <t>Dirección de correo electrónico #1</t>
  </si>
  <si>
    <t>Dirección de correo electrónico #2</t>
  </si>
  <si>
    <t>Dirección de correo electrónico #3</t>
  </si>
  <si>
    <t>Dirección de correo electrónico #4</t>
  </si>
  <si>
    <t>Dirección de correo electrónico #5</t>
  </si>
  <si>
    <t>Tipo correo electrónico #1</t>
  </si>
  <si>
    <t>Tipo correo electrónico #2</t>
  </si>
  <si>
    <t>Tipo correo electrónico #3</t>
  </si>
  <si>
    <t>Tipo correo electrónico #4</t>
  </si>
  <si>
    <t>Tipo correo electrónico #5</t>
  </si>
  <si>
    <t>Email Principal #1</t>
  </si>
  <si>
    <t>Email Principal #2</t>
  </si>
  <si>
    <t>Email Principal #3</t>
  </si>
  <si>
    <t>Email Principal #4</t>
  </si>
  <si>
    <t>Email Principal #5</t>
  </si>
  <si>
    <t>Institución Educativa (RUC)</t>
  </si>
  <si>
    <t>Carrera</t>
  </si>
  <si>
    <t>Área</t>
  </si>
  <si>
    <t>Descripción de institución educativa</t>
  </si>
  <si>
    <t>Grado Académico</t>
  </si>
  <si>
    <t>Grado de colegio actual</t>
  </si>
  <si>
    <t>Bachillerato</t>
  </si>
  <si>
    <t>Colegio (Código Modular)</t>
  </si>
  <si>
    <t>Datos adicionales académicos</t>
  </si>
  <si>
    <t>Año bachiller</t>
  </si>
  <si>
    <t>Año egreso</t>
  </si>
  <si>
    <t>Empresa (RUC)</t>
  </si>
  <si>
    <t>Razon Social</t>
  </si>
  <si>
    <t>Categoría del cargo</t>
  </si>
  <si>
    <t>Área funcional</t>
  </si>
  <si>
    <t>Cargo</t>
  </si>
  <si>
    <t>Años de experiencia laboral posterior al bachiller</t>
  </si>
  <si>
    <t>Fecha de inicio laboral</t>
  </si>
  <si>
    <t>Dirección</t>
  </si>
  <si>
    <t>Tipo de dirección</t>
  </si>
  <si>
    <t>Prefijo dirección</t>
  </si>
  <si>
    <t>Prefijo localidad</t>
  </si>
  <si>
    <t>País (Código)</t>
  </si>
  <si>
    <t>Departamento (Código)</t>
  </si>
  <si>
    <t>Provincia (Código)</t>
  </si>
  <si>
    <t>Distrito (Código)</t>
  </si>
  <si>
    <t>Fuente</t>
  </si>
  <si>
    <t>Medio</t>
  </si>
  <si>
    <t>Medio específico</t>
  </si>
  <si>
    <t>Power Campus ID Relacionado</t>
  </si>
  <si>
    <t>ID Relacionado</t>
  </si>
  <si>
    <t>Tipo de documento Relacionado</t>
  </si>
  <si>
    <t>Número de documento Relacionado</t>
  </si>
  <si>
    <t>Primer Nombre Relacionado</t>
  </si>
  <si>
    <t>Segundo y tercer nombre Relacionado</t>
  </si>
  <si>
    <t>Apellido paterno Relacionado</t>
  </si>
  <si>
    <t>Apellido Materno Relacionado</t>
  </si>
  <si>
    <t>Género Relacionado</t>
  </si>
  <si>
    <t>Fuente Relacionado</t>
  </si>
  <si>
    <t>Número de Secuencia Relacionado</t>
  </si>
  <si>
    <t>Indicador conexiones familiar</t>
  </si>
  <si>
    <t>Tipo de relación</t>
  </si>
  <si>
    <t>Indicar asistencia a evento Relacionado</t>
  </si>
  <si>
    <t>Inscrito Relacionado</t>
  </si>
  <si>
    <t>Asistio Relacionado</t>
  </si>
  <si>
    <t>Fuente asistencia relacionado</t>
  </si>
  <si>
    <t>Tipo de teléfono #1 relacionado</t>
  </si>
  <si>
    <t>Tipo de teléfono #2 Relacionado</t>
  </si>
  <si>
    <t>Número de teléfono #1 Relacionado</t>
  </si>
  <si>
    <t>Número de teléfono #2 Relacionado</t>
  </si>
  <si>
    <t>Teléfono Principal #1 Relacionado</t>
  </si>
  <si>
    <t>Teléfono Principal #2 Relacionado</t>
  </si>
  <si>
    <t>Dirección de correo electrónico #1 relacionado</t>
  </si>
  <si>
    <t>Dirección de correo electrónico #2 relacionado</t>
  </si>
  <si>
    <t>Tipo correo electrónico #1 relacionado</t>
  </si>
  <si>
    <t>Tipo correo electrónico #2 relacionado</t>
  </si>
  <si>
    <t>Email Principal #1 Relacionado</t>
  </si>
  <si>
    <t>Email Principal #2 Relacionado</t>
  </si>
  <si>
    <t>Nombre</t>
  </si>
  <si>
    <t>Propietario</t>
  </si>
  <si>
    <t>Estado</t>
  </si>
  <si>
    <t>Razón para el estado</t>
  </si>
  <si>
    <t>fdz_bbddpersona:z4PhNX7vuL3xVChQ1m2AB9Yg5AULVxXcg/SpIdNs6c5H0NE8XYXysP+DGNKHfuwvY7kxvUdBeoGlODJ6+SfaPg==:fdz_bbddpersonaid=%28No%20modificar%29%20bbddpersona&amp;checksumLogicalName=%28No%20modificar%29%20Suma%20de%20comprobaci%c3%b3n%20de%20fila&amp;modifiedon=%28No%20modificar%29%20Fecha%20de%20modificaci%c3%b3n&amp;fdz_indicadorcnx=Indicador%20de%20Conexiones&amp;fdz_record1roleid=Rol%20de%20%28Descripci%c3%b3n%29&amp;fdz_record2roleid=Rol%20Para%20%28Descripci%c3%b3n%29&amp;fdz_codename=C%c3%b3digo%20de%20campa%c3%b1a&amp;fdz_ownerid=Propietario%20CNX&amp;fdz_descriptioncnx=Descripci%c3%b3n%20CNX&amp;fdz_utm_campaign=UTM%20Campaign&amp;fdz_utm_source=UTM%20Source&amp;fdz_utm_medium=UTM%20Medium&amp;fdz_utm_content=UTM%20Content&amp;fdz_utm_term=UTM%20Term&amp;fdz_fechadeingresocnx=Fecha%20de%20ingreso&amp;fdz_comentariocnx=Comentario&amp;fdz_instalacion=Sede&amp;fdz_indicadorasistenciaaevento=Indicador%20participaci%c3%b3n%20a%20evento&amp;fdz_codigodeevento=C%c3%b3digo%20de%20Evento&amp;fdz_inscrito=Inscrito&amp;fdz_fechadeinscripcionevento=Fecha%20de%20inscripci%c3%b3n%20a%20evento&amp;fdz_asistio=Asistio%20a%20evento&amp;fdz_fechadeasistenciaevento=Fecha%20de%20asistencia%20a%20evento&amp;fdz_confirmo=Confirm%c3%b3&amp;fdz_fechadeconfirmacionevento=Fecha%20de%20confirmaci%c3%b3n&amp;fdz_pago=Pag%c3%b3&amp;fdz_descripcionasistenciaevento=Descripci%c3%b3n%20de%20participaci%c3%b3n&amp;fdz_fuenteasistencia=Fuente%20Participaci%c3%b3n%20Evento&amp;fdz_indicadordebasededatos=Indicador%20de%20base%20de%20datos&amp;fdz_nombredebasededatos=C%c3%b3digo%20de%20base%20de%20datos&amp;fdz_basededatos=Base%20de%20datos&amp;fdz_indicadordeinteres=Indicador%20de%20Interes&amp;fdz_interes1=Inter%c3%a9s%201&amp;fdz_interes2=Inter%c3%a9s%202&amp;fdz_interes3=Inter%c3%a9s%203&amp;fdz_interes4=Inter%c3%a9s%204&amp;fdz_interes5=Inter%c3%a9s%205&amp;fdz_interes6=Inter%c3%a9s%206&amp;fdz_interes7=Inter%c3%a9s%207&amp;fdz_interes8=Inter%c3%a9s%208&amp;fdz_interes9=Inter%c3%a9s%209&amp;fdz_indicadorautorizaciondedatos=Indicador%20autorizaci%c3%b3n%20de%20datos&amp;fdz_autorizacionusodatosporterceros=Autorizacion%20uso%20datos%20por%20terceros&amp;fdz_autorizacionusodatosporup=Autorizacion%20uso%20datos%20por%20UP&amp;fdz_entityid=Entity%20ID&amp;fdz_powercampusid=Power%20Campus%20ID&amp;fdz_tipodedocumento=Tipo%20de%20documento&amp;fdz_numerodedocumento=N%c3%bamero%20de%20documento&amp;fdz_subject=Tema&amp;fdz_firstname=Primer%20nombre&amp;fdz_middlename=Segundo%20y%20tercer%20nombre&amp;fdz_lastname=Apellido%20paterno&amp;fdz_apellidomaterno=Apellido%20materno&amp;fdz_description=Descripci%c3%b3n&amp;up_numerosecuencia=N%c3%bamero%20de%20Secuencia&amp;fdz_saludo=Saludo&amp;fdz_nickname=Alias&amp;fdz_paisdeorigen=Pa%c3%ads%20de%20origen%20%28C%c3%b3digo%29&amp;fdz_fechadenacimiento=Fecha%20de%20Nacimiento&amp;fdz_gendercode=G%c3%a9nero&amp;fdz_familystatuscode=Estado%20civil&amp;fdz_tipodetelefono1=Tipo%20de%20tel%c3%a9fono%20%231&amp;fdz_tipodetelefono2=Tipo%20de%20tel%c3%a9fono%20%232&amp;fdz_tipodetelefono3=Tipo%20de%20tel%c3%a9fono%20%233&amp;fdz_tipodetelefono4=Tipo%20de%20tel%c3%a9fono%20%234&amp;fdz_tipodetelefono5=Tipo%20de%20tel%c3%a9fono%20%235&amp;fdz_telephone2=N%c3%bamero%20de%20tel%c3%a9fono%20%231&amp;fdz_telephone3=N%c3%bamero%20de%20tel%c3%a9fono%20%232&amp;fdz_numerodetelefono3=N%c3%bamero%20de%20tel%c3%a9fono%20%233&amp;fdz_numerodetelefono4=N%c3%bamero%20de%20tel%c3%a9fono%20%234&amp;fdz_numerodetelefono5=N%c3%bamero%20de%20tel%c3%a9fono%20%235&amp;fdz_anexo1=Anexo%20%231&amp;fdz_anexo2=Anexo%20%232&amp;fdz_anexo3=Anexo%20%233&amp;fdz_anexo4=Anexo%20%234&amp;fdz_anexo5=Anexo%20%235&amp;fdz_telefonoprincipal1=Telefono%20Principal%20%231&amp;fdz_telefonoprincipal2=Telefono%20Principal%20%232&amp;fdz_telefonoprincipal3=Telefono%20Principal%20%233&amp;fdz_telefonoprincipal4=Telefono%20Principal%20%234&amp;fdz_telefonoprincipal5=Telefono%20Principal%20%235&amp;fdz_emailaddress2=Direcci%c3%b3n%20de%20correo%20electr%c3%b3nico%20%231&amp;fdz_emailaddress3=Direcci%c3%b3n%20de%20correo%20electr%c3%b3nico%20%232&amp;fdz_direcciondecorreoelectronico3=Direcci%c3%b3n%20de%20correo%20electr%c3%b3nico%20%233&amp;fdz_direcciondecorreoelectronico4=Direcci%c3%b3n%20de%20correo%20electr%c3%b3nico%20%234&amp;fdz_direcciondecorreoelectronico5=Direcci%c3%b3n%20de%20correo%20electr%c3%b3nico%20%235&amp;fdz_tipocorreoelectronico1=Tipo%20correo%20electr%c3%b3nico%20%231&amp;fdz_tipocorreoelectronico2=Tipo%20correo%20electr%c3%b3nico%20%232&amp;fdz_tipocorreoelectronico3=Tipo%20correo%20electr%c3%b3nico%20%233&amp;fdz_tipocorreoelectronico4=Tipo%20correo%20electr%c3%b3nico%20%234&amp;fdz_tipocorreoelectronico5=Tipo%20correo%20electr%c3%b3nico%20%235&amp;fdz_emailprincipal1=Email%20Principal%20%231&amp;fdz_emailprincipal2=Email%20Principal%20%232&amp;fdz_emailprincipal3=Email%20Principal%20%233&amp;fdz_emailprincipal4=Email%20Principal%20%234&amp;fdz_emailprincipal5=Email%20Principal%20%235&amp;fdz_universidad=Instituci%c3%b3n%20Educativa%20%28RUC%29&amp;fdz_carrera=Carrera&amp;fdz_area=%c3%81rea&amp;fdz_categoria=Descripci%c3%b3n%20de%20instituci%c3%b3n%20educativa&amp;fdz_gradoacademico=Grado%20Acad%c3%a9mico&amp;fdz_gradodecolegioactual=Grado%20de%20colegio%20actual&amp;fdz_aniobachillerato=Bachillerato&amp;fdz_colegio=Colegio%20%28C%c3%b3digo%20Modular%29&amp;fdz_datosacademicos=Datos%20adicionales%20acad%c3%a9micos&amp;fdz_aniobachiller=A%c3%b1o%20bachiller&amp;fdz_anioegreso=A%c3%b1o%20egreso&amp;fdz_ruc=Empresa%20%28RUC%29&amp;fdz_razonsocial=Razon%20Social&amp;fdz_categoriadelcargo=Categor%c3%ada%20del%20cargo&amp;fdz_areafuncional=%c3%81rea%20funcional&amp;fdz_jobtitle=Cargo&amp;fdz_aniosdeexperiencialaboral=A%c3%b1os%20de%20experiencia%20laboral%20posterior%20al%20bachiller&amp;fdz_fechadeiniciolaboral=Fecha%20de%20inicio%20laboral&amp;fdz_address1_name=Direcci%c3%b3n&amp;fdz_tipodedireccion=Tipo%20de%20direcci%c3%b3n&amp;fdz_prefijodireccion=Prefijo%20direcci%c3%b3n&amp;fdz_prefijolocalidad=Prefijo%20localidad&amp;fdz_pais=Pa%c3%ads%20%28C%c3%b3digo%29&amp;fdz_departamento=Departamento%20%28C%c3%b3digo%29&amp;fdz_provincia=Provincia%20%28C%c3%b3digo%29&amp;fdz_distrito=Distrito%20%28C%c3%b3digo%29&amp;fdz_fuente=Fuente&amp;fdz_medio=Medio&amp;fdz_medioespecifico=Medio%20espec%c3%adfico&amp;up_powercampusidrel=Power%20Campus%20ID%20Relacionado&amp;up_entityidrel=ID%20Relacionado&amp;fdz_tipodedocumentorel=Tipo%20de%20documento%20Relacionado&amp;fdz_numerodedocumentorel=N%c3%bamero%20de%20documento%20Relacionado&amp;fdz_firstnamerel=Primer%20Nombre%20Relacionado&amp;fdz_middlenamerel=Segundo%20y%20tercer%20nombre%20Relacionado&amp;fdz_lastnamerel=Apellido%20paterno%20Relacionado&amp;fdz_apellidomaternorel=Apellido%20Materno%20Relacionado&amp;fdz_gendercoderel=G%c3%a9nero%20Relacionado&amp;fdz_fuenterel=Fuente%20Relacionado&amp;up_numerosecuenciarel=N%c3%bamero%20de%20Secuencia%20Relacionado&amp;fdz_indicadorcnxrel=Indicador%20conexiones%20familiar&amp;fdz_tipoderelacion=Tipo%20de%20relaci%c3%b3n&amp;fdz_indicadorasistenciaaeventorel=Indicar%20asistencia%20a%20evento%20Relacionado&amp;fdz_inscritorel=Inscrito%20Relacionado&amp;fdz_asistiorel=Asistio%20Relacionado&amp;fdz_fuenteasistenciarel=Fuente%20asistencia%20relacionado&amp;fdz_tipodetelefono1rel=Tipo%20de%20tel%c3%a9fono%20%231%20relacionado&amp;fdz_tipodetelefono2rel=Tipo%20de%20tel%c3%a9fono%20%232%20Relacionado&amp;fdz_telephone2rel=N%c3%bamero%20de%20tel%c3%a9fono%20%231%20Relacionado&amp;fdz_telephone3rel=N%c3%bamero%20de%20tel%c3%a9fono%20%232%20Relacionado&amp;fdz_telefonoprincipal1rel=Tel%c3%a9fono%20Principal%20%231%20Relacionado&amp;fdz_telefonoprincipal2rel=Tel%c3%a9fono%20Principal%20%232%20Relacionado&amp;fdz_emailaddress2rel=Direcci%c3%b3n%20de%20correo%20electr%c3%b3nico%20%231%20relacionado&amp;fdz_emailaddress3rel=Direcci%c3%b3n%20de%20correo%20electr%c3%b3nico%20%232%20relacionado&amp;fdz_tipocorreoelectronico1rel=Tipo%20correo%20electr%c3%b3nico%20%231%20relacionado&amp;fdz_tipocorreoelectronico2rel=Tipo%20correo%20electr%c3%b3nico%20%232%20relacionado&amp;fdz_emailprincipal1rel=Email%20Principal%20%231%20Relacionado&amp;fdz_emailprincipal2rel=Email%20Principal%20%232%20Relacionado&amp;fdz_name=Nombre&amp;ownerid=Propietario&amp;statecode=Estado&amp;statuscode=Raz%c3%b3n%20para%20el%20estado</t>
  </si>
  <si>
    <t>No</t>
  </si>
  <si>
    <t>Sí</t>
  </si>
  <si>
    <t>Facebook (Lead Ads)</t>
  </si>
  <si>
    <t>Ficha física</t>
  </si>
  <si>
    <t>Landing page</t>
  </si>
  <si>
    <t>Portal Pregrado</t>
  </si>
  <si>
    <t>Referido</t>
  </si>
  <si>
    <t>Telemarketing - llamada telefónica</t>
  </si>
  <si>
    <t>Ventas - llamada telefónica</t>
  </si>
  <si>
    <t>UPSITE</t>
  </si>
  <si>
    <t>-- Sin definir --</t>
  </si>
  <si>
    <t>--Sin definir--</t>
  </si>
  <si>
    <t>Boleta Militar</t>
  </si>
  <si>
    <t>C.I.P.</t>
  </si>
  <si>
    <t>CE</t>
  </si>
  <si>
    <t>D.N.I.</t>
  </si>
  <si>
    <t>Libreta Electoral</t>
  </si>
  <si>
    <t>Libreta Militar</t>
  </si>
  <si>
    <t>Otro</t>
  </si>
  <si>
    <t>Pasaporte</t>
  </si>
  <si>
    <t>PN</t>
  </si>
  <si>
    <t>RUC</t>
  </si>
  <si>
    <t>Almte.</t>
  </si>
  <si>
    <t>Arq.</t>
  </si>
  <si>
    <t>Bach.</t>
  </si>
  <si>
    <t>C.P.C.</t>
  </si>
  <si>
    <t>Cmdt.</t>
  </si>
  <si>
    <t>Cnel.</t>
  </si>
  <si>
    <t>Doctor</t>
  </si>
  <si>
    <t>Doctora</t>
  </si>
  <si>
    <t>Don</t>
  </si>
  <si>
    <t>Doña</t>
  </si>
  <si>
    <t>Exma.</t>
  </si>
  <si>
    <t>Exma. sra.</t>
  </si>
  <si>
    <t>Exmo.</t>
  </si>
  <si>
    <t>Exmo. sr.</t>
  </si>
  <si>
    <t>Gral.</t>
  </si>
  <si>
    <t>Hna.</t>
  </si>
  <si>
    <t>Hno.</t>
  </si>
  <si>
    <t>Ingeniero</t>
  </si>
  <si>
    <t>Lic.</t>
  </si>
  <si>
    <t>Mg.</t>
  </si>
  <si>
    <t>P.H.D.</t>
  </si>
  <si>
    <t>R.M.</t>
  </si>
  <si>
    <t>R.P.</t>
  </si>
  <si>
    <t>Señor</t>
  </si>
  <si>
    <t>Señora</t>
  </si>
  <si>
    <t>Señorita</t>
  </si>
  <si>
    <t>Sist.</t>
  </si>
  <si>
    <t>Masculino</t>
  </si>
  <si>
    <t>Femenino</t>
  </si>
  <si>
    <t>Desconocido</t>
  </si>
  <si>
    <t>Soltero/ra</t>
  </si>
  <si>
    <t>Casado/da</t>
  </si>
  <si>
    <t>Divorciado/da</t>
  </si>
  <si>
    <t>Viudo/da</t>
  </si>
  <si>
    <t>Conviviente</t>
  </si>
  <si>
    <t>Separado/da</t>
  </si>
  <si>
    <t>Casa</t>
  </si>
  <si>
    <t>Celular</t>
  </si>
  <si>
    <t>Celular hijo/a</t>
  </si>
  <si>
    <t>Trabajo</t>
  </si>
  <si>
    <t>Fax</t>
  </si>
  <si>
    <t>UP Mail</t>
  </si>
  <si>
    <t>UP Mail empleado</t>
  </si>
  <si>
    <t>Correo alterno</t>
  </si>
  <si>
    <t>Correo principal</t>
  </si>
  <si>
    <t>Externo</t>
  </si>
  <si>
    <t>Gmail</t>
  </si>
  <si>
    <t>Histórico email</t>
  </si>
  <si>
    <t>Hotmail</t>
  </si>
  <si>
    <t>Terra</t>
  </si>
  <si>
    <t>Yahoo</t>
  </si>
  <si>
    <t>Arquitectura</t>
  </si>
  <si>
    <t>Ciencias básicas</t>
  </si>
  <si>
    <t>Ciencias de la comunicación</t>
  </si>
  <si>
    <t>Ciencias empresariales</t>
  </si>
  <si>
    <t>Ciencias sociales</t>
  </si>
  <si>
    <t>Derecho</t>
  </si>
  <si>
    <t>Ingeniería</t>
  </si>
  <si>
    <t>Letras y ciencias humanas</t>
  </si>
  <si>
    <t>Bachiller</t>
  </si>
  <si>
    <t>Licenciado</t>
  </si>
  <si>
    <t>Magister</t>
  </si>
  <si>
    <t>3° Secundaria</t>
  </si>
  <si>
    <t>4° Secundaria</t>
  </si>
  <si>
    <t>5° Secundaria</t>
  </si>
  <si>
    <t>Bachillerato Internacional</t>
  </si>
  <si>
    <t>1er año de bachillerato</t>
  </si>
  <si>
    <t>2do año de bachillerato</t>
  </si>
  <si>
    <t>Egresado</t>
  </si>
  <si>
    <t>Egresado con 2 años</t>
  </si>
  <si>
    <t>Egresados con más de 2 años</t>
  </si>
  <si>
    <t>1er Bachillerato</t>
  </si>
  <si>
    <t>2do Bachillerato</t>
  </si>
  <si>
    <t>3er Bachillerato</t>
  </si>
  <si>
    <t>Académicos</t>
  </si>
  <si>
    <t>Analista</t>
  </si>
  <si>
    <t>Asesor</t>
  </si>
  <si>
    <t>Asistente</t>
  </si>
  <si>
    <t>Asociado</t>
  </si>
  <si>
    <t>Auditor</t>
  </si>
  <si>
    <t>Auxiliar</t>
  </si>
  <si>
    <t>Consultor</t>
  </si>
  <si>
    <t>Coordinador</t>
  </si>
  <si>
    <t>Director</t>
  </si>
  <si>
    <t>Ejecutivo</t>
  </si>
  <si>
    <t>Especialista</t>
  </si>
  <si>
    <t>Fuerzas Armadas</t>
  </si>
  <si>
    <t>Funcionario</t>
  </si>
  <si>
    <t>Gerente</t>
  </si>
  <si>
    <t>Gubernamentales</t>
  </si>
  <si>
    <t>Independiente</t>
  </si>
  <si>
    <t>Investigador</t>
  </si>
  <si>
    <t>Jefe</t>
  </si>
  <si>
    <t>Otros</t>
  </si>
  <si>
    <t>Practicante</t>
  </si>
  <si>
    <t>Presidente</t>
  </si>
  <si>
    <t>Responsable</t>
  </si>
  <si>
    <t>Subgerente</t>
  </si>
  <si>
    <t>Supervisor</t>
  </si>
  <si>
    <t>Técnico</t>
  </si>
  <si>
    <t>Vicepresidente</t>
  </si>
  <si>
    <t>Administración/Gestión</t>
  </si>
  <si>
    <t>Auditoría</t>
  </si>
  <si>
    <t>Calidad</t>
  </si>
  <si>
    <t>Capacitación</t>
  </si>
  <si>
    <t>Contabilidad</t>
  </si>
  <si>
    <t>Dirección general</t>
  </si>
  <si>
    <t>Economía</t>
  </si>
  <si>
    <t>Educación</t>
  </si>
  <si>
    <t>Finanzas</t>
  </si>
  <si>
    <t>Informática/Sistemas/Tecnologías de Información</t>
  </si>
  <si>
    <t>Investigación y Desarrollo</t>
  </si>
  <si>
    <t>Legal</t>
  </si>
  <si>
    <t>Logística</t>
  </si>
  <si>
    <t>Marketing y Comunicaciones</t>
  </si>
  <si>
    <t>Mercadeo y ventas</t>
  </si>
  <si>
    <t>Negocios Internacionales</t>
  </si>
  <si>
    <t>Operaciones</t>
  </si>
  <si>
    <t>Planeamiento y proyectos</t>
  </si>
  <si>
    <t>Políticas públicas y sociales</t>
  </si>
  <si>
    <t>Producción</t>
  </si>
  <si>
    <t>Recursos humanos</t>
  </si>
  <si>
    <t>Relaciones sociales</t>
  </si>
  <si>
    <t>Responsabilidad social</t>
  </si>
  <si>
    <t>Saneamiento</t>
  </si>
  <si>
    <t>Seguridad y Salud Ocupacional</t>
  </si>
  <si>
    <t>Servicios</t>
  </si>
  <si>
    <t>Domicilio</t>
  </si>
  <si>
    <t>Domicilio legal</t>
  </si>
  <si>
    <t>Dirección para facturación</t>
  </si>
  <si>
    <t>Domicilio de un familiar</t>
  </si>
  <si>
    <t>Negocio</t>
  </si>
  <si>
    <t>Lugar de nacimiento</t>
  </si>
  <si>
    <t>Dirección de negocio</t>
  </si>
  <si>
    <t>Sede principal</t>
  </si>
  <si>
    <t>Dirección de trabajo actual</t>
  </si>
  <si>
    <t>Jr.</t>
  </si>
  <si>
    <t>Cl.</t>
  </si>
  <si>
    <t>Av.</t>
  </si>
  <si>
    <t>Psje.</t>
  </si>
  <si>
    <t>Mz.</t>
  </si>
  <si>
    <t>Prol.</t>
  </si>
  <si>
    <t>Blck.</t>
  </si>
  <si>
    <t>Cond.</t>
  </si>
  <si>
    <t>Parq.</t>
  </si>
  <si>
    <t>Male.</t>
  </si>
  <si>
    <t>Alam.</t>
  </si>
  <si>
    <t>Car.</t>
  </si>
  <si>
    <t>Auto.</t>
  </si>
  <si>
    <t>CCPP</t>
  </si>
  <si>
    <t>Cas.</t>
  </si>
  <si>
    <t>Plz.</t>
  </si>
  <si>
    <t>Urb.</t>
  </si>
  <si>
    <t>AAHH</t>
  </si>
  <si>
    <t>PPJJ</t>
  </si>
  <si>
    <t>Asoc.</t>
  </si>
  <si>
    <t>Zn.</t>
  </si>
  <si>
    <t>Grup.</t>
  </si>
  <si>
    <t>Sect.</t>
  </si>
  <si>
    <t>CCHH</t>
  </si>
  <si>
    <t>Res.</t>
  </si>
  <si>
    <t>Coop.</t>
  </si>
  <si>
    <t>UUVV</t>
  </si>
  <si>
    <t>Camp.</t>
  </si>
  <si>
    <t>Fdo.</t>
  </si>
  <si>
    <t>Com.</t>
  </si>
  <si>
    <t>Base de Data Intelligence</t>
  </si>
  <si>
    <t>Base de datos comprada</t>
  </si>
  <si>
    <t>Base de datos eventos</t>
  </si>
  <si>
    <t>Chat en línea</t>
  </si>
  <si>
    <t>Correo a ventas</t>
  </si>
  <si>
    <t>Ferias masivas</t>
  </si>
  <si>
    <t>Ficha Física - Charlas, Conferencia y/o Talleres</t>
  </si>
  <si>
    <t>Ficha Física - Otros eventos (Concursos, Visitas guiadas, etc)</t>
  </si>
  <si>
    <t>Ficha Física - Visitas externas en Colegios o Empresas</t>
  </si>
  <si>
    <t>Front desk</t>
  </si>
  <si>
    <t>Llamadas inbound</t>
  </si>
  <si>
    <t>Llamadas outbound</t>
  </si>
  <si>
    <t>Redes sociales (Facebook, Linkedin)</t>
  </si>
  <si>
    <t>Referidos - Egresados</t>
  </si>
  <si>
    <t>Referidos - Otros</t>
  </si>
  <si>
    <t>Sistemas UP</t>
  </si>
  <si>
    <t>Web UP - Contáctenos</t>
  </si>
  <si>
    <t>Llamada outbound</t>
  </si>
  <si>
    <t>MKT DIRECTO DIGITAL (emailing)</t>
  </si>
  <si>
    <t>MKT DIRECTO IMPRESO (invitaciones físicas)</t>
  </si>
  <si>
    <t>PUBLICIDAD DIGITAL - REDES SOCIALES</t>
  </si>
  <si>
    <t>PUBLICIDAD DIGITAL - WEB</t>
  </si>
  <si>
    <t>PUBLICIDAD IMPRESA - DIARIO</t>
  </si>
  <si>
    <t>PUBLICIDAD IMPRESA - REVISTA</t>
  </si>
  <si>
    <t>PUBLICIDAD IMPRESA - SUPLEMENTO</t>
  </si>
  <si>
    <t>PUBLICIDAD DIGITAL - BOLETIN</t>
  </si>
  <si>
    <t>PUBLICITY</t>
  </si>
  <si>
    <t>REDES SOCIALES UP</t>
  </si>
  <si>
    <t>WEB UP</t>
  </si>
  <si>
    <t>Eventos</t>
  </si>
  <si>
    <t>Eventos / Ferias</t>
  </si>
  <si>
    <t>MKT DIRECTO DIGITAL: Correo Masivo</t>
  </si>
  <si>
    <t>MKT DIRECTO DIGITAL: Correo Enviado por Asesora de Ventas</t>
  </si>
  <si>
    <t>MKT DIRECTO DIGITAL: Correo Masivo - APPROLOG</t>
  </si>
  <si>
    <t>MKT DIRECTO DIGITAL: Correo Masivo - Aptitus</t>
  </si>
  <si>
    <t>MKT DIRECTO DIGITAL: Correo Masivo - Bumeran</t>
  </si>
  <si>
    <t>MKT DIRECTO DIGITAL: Correo Masivo - Código</t>
  </si>
  <si>
    <t>MKT DIRECTO DIGITAL: Correo Masivo - Laborum</t>
  </si>
  <si>
    <t>MKT DIRECTO DIGITAL: Correo Masivo - Perú Retail</t>
  </si>
  <si>
    <t>MKT DIRECTO DIGITAL: Correo Masivo - Procapitales</t>
  </si>
  <si>
    <t>MKT DIRECTO DIGITAL: Correo Masivo - Pymex</t>
  </si>
  <si>
    <t>MKT DIRECTO DIGITAL: Correo Masivo - Red Mas</t>
  </si>
  <si>
    <t>MKT DIRECTO DIGITAL: Correo Masivo - Trabajando</t>
  </si>
  <si>
    <t>MKT DIRECTO DIGITAL: Correo Masivo - Universia</t>
  </si>
  <si>
    <t>MKT DIRECTO DIGITAL: Correo Masivo - View</t>
  </si>
  <si>
    <t>MKT DIRECTO DIGITAL: HTML</t>
  </si>
  <si>
    <t>MKT DIRECTO DIGITAL: Infocapital humano</t>
  </si>
  <si>
    <t>MKT DIRECTO IMPRESO: Brochure</t>
  </si>
  <si>
    <t>MKT DIRECTO IMPRESO: Esquela de Invitación</t>
  </si>
  <si>
    <t>PUBLICIDAD DIGITAL - BOLETIN: América Economía</t>
  </si>
  <si>
    <t>PUBLICIDAD DIGITAL - BOLETIN: Boletin Perú Retail</t>
  </si>
  <si>
    <t>PUBLICIDAD DIGITAL - BOLETIN: Camara de Comercio</t>
  </si>
  <si>
    <t>PUBLICIDAD DIGITAL - BOLETIN: Canal MBA América Economía</t>
  </si>
  <si>
    <t>PUBLICIDAD DIGITAL - BOLETIN: Enfoque Derecho</t>
  </si>
  <si>
    <t>PUBLICIDAD DIGITAL - BOLETIN: Gestión</t>
  </si>
  <si>
    <t>PUBLICIDAD DIGITAL - BOLETIN: Perú 21</t>
  </si>
  <si>
    <t>PUBLICIDAD DIGITAL - BOLETIN: Perú Construye</t>
  </si>
  <si>
    <t>PUBLICIDAD DIGITAL - BOLETIN: Semana Económica</t>
  </si>
  <si>
    <t>PUBLICIDAD DIGITAL - REDES SOCIALES: Contacto por Inbox</t>
  </si>
  <si>
    <t>PUBLICIDAD DIGITAL - REDES SOCIALES: Facebook</t>
  </si>
  <si>
    <t>PUBLICIDAD DIGITAL - REDES SOCIALES: Linkedin</t>
  </si>
  <si>
    <t>PUBLICIDAD DIGITAL - REDES SOCIALES: Twitter</t>
  </si>
  <si>
    <t>PUBLICIDAD DIGITAL - WEB: Aptitus</t>
  </si>
  <si>
    <t>PUBLICIDAD DIGITAL - WEB: Ateneo</t>
  </si>
  <si>
    <t>PUBLICIDAD DIGITAL - WEB: Banners</t>
  </si>
  <si>
    <t>PUBLICIDAD DIGITAL - WEB: Canal MBA América Economía</t>
  </si>
  <si>
    <t>PUBLICIDAD DIGITAL - WEB: Contacto digital</t>
  </si>
  <si>
    <t>PUBLICIDAD DIGITAL - WEB: Educaedu-Perú</t>
  </si>
  <si>
    <t>PUBLICIDAD DIGITAL - WEB: Energiminas</t>
  </si>
  <si>
    <t>PUBLICIDAD DIGITAL - WEB: Google</t>
  </si>
  <si>
    <t>PUBLICIDAD DIGITAL - WEB: GS1</t>
  </si>
  <si>
    <t>PUBLICIDAD DIGITAL - WEB: GSP (Gmail sponsor promotions)</t>
  </si>
  <si>
    <t>PUBLICIDAD DIGITAL - WEB: Infocapital Humano</t>
  </si>
  <si>
    <t>PUBLICIDAD DIGITAL - WEB: Logística 360</t>
  </si>
  <si>
    <t>PUBLICIDAD DIGITAL - WEB: Market Place</t>
  </si>
  <si>
    <t>PUBLICIDAD DIGITAL - WEB: Masterstudies</t>
  </si>
  <si>
    <t>PUBLICIDAD DIGITAL - WEB: Otras web</t>
  </si>
  <si>
    <t>PUBLICIDAD DIGITAL - WEB: Página Agroforum</t>
  </si>
  <si>
    <t>PUBLICIDAD DIGITAL - WEB: Página Agronegocios Perú</t>
  </si>
  <si>
    <t>PUBLICIDAD DIGITAL - WEB: Página América Economía</t>
  </si>
  <si>
    <t>PUBLICIDAD DIGITAL - WEB: Página América Economía - Ranking MBA</t>
  </si>
  <si>
    <t>PUBLICIDAD DIGITAL - WEB: Página Aprolog</t>
  </si>
  <si>
    <t>PUBLICIDAD DIGITAL - WEB: Página Bolsa Valores</t>
  </si>
  <si>
    <t>PUBLICIDAD DIGITAL - WEB: Página Código</t>
  </si>
  <si>
    <t>PUBLICIDAD DIGITAL - WEB: Página Comex Perú</t>
  </si>
  <si>
    <t>PUBLICIDAD DIGITAL - WEB: Página El Comercio</t>
  </si>
  <si>
    <t>PUBLICIDAD DIGITAL - WEB: Página El Peruano</t>
  </si>
  <si>
    <t>PUBLICIDAD DIGITAL - WEB: Página Enfoque Derecho</t>
  </si>
  <si>
    <t>PUBLICIDAD DIGITAL - WEB: Página Estilozas</t>
  </si>
  <si>
    <t>PUBLICIDAD DIGITAL - WEB: Página Etiqueta Negra</t>
  </si>
  <si>
    <t>PUBLICIDAD DIGITAL - WEB: Página Gestión</t>
  </si>
  <si>
    <t>PUBLICIDAD DIGITAL - WEB: Página La Encontre</t>
  </si>
  <si>
    <t>PUBLICIDAD DIGITAL - WEB: Página La República</t>
  </si>
  <si>
    <t>PUBLICIDAD DIGITAL - WEB: Página Logistica y Transporte</t>
  </si>
  <si>
    <t>PUBLICIDAD DIGITAL - WEB: Página Minera Online</t>
  </si>
  <si>
    <t>PUBLICIDAD DIGITAL - WEB: Página Perú 21</t>
  </si>
  <si>
    <t>PUBLICIDAD DIGITAL - WEB: Página Peru Top Lawyer</t>
  </si>
  <si>
    <t>PUBLICIDAD DIGITAL - WEB: Página Procapitales</t>
  </si>
  <si>
    <t>PUBLICIDAD DIGITAL - WEB: Página PYMEX</t>
  </si>
  <si>
    <t>PUBLICIDAD DIGITAL - WEB: Página Radar Fashion</t>
  </si>
  <si>
    <t>PUBLICIDAD DIGITAL - WEB: Página RPP</t>
  </si>
  <si>
    <t>PUBLICIDAD DIGITAL - WEB: Página Rumbo Minero</t>
  </si>
  <si>
    <t>PUBLICIDAD DIGITAL - WEB: Página Stakeholders</t>
  </si>
  <si>
    <t>PUBLICIDAD DIGITAL - WEB: Página Terra</t>
  </si>
  <si>
    <t>PUBLICIDAD DIGITAL - WEB: Página Trabajando</t>
  </si>
  <si>
    <t>PUBLICIDAD DIGITAL - WEB: Página UP</t>
  </si>
  <si>
    <t>PUBLICIDAD DIGITAL - WEB: Página Urbania</t>
  </si>
  <si>
    <t>PUBLICIDAD DIGITAL - WEB: Página Yahoo</t>
  </si>
  <si>
    <t>PUBLICIDAD DIGITAL - WEB: Perú Construye</t>
  </si>
  <si>
    <t>PUBLICIDAD DIGITAL - WEB: Perú Retail</t>
  </si>
  <si>
    <t>PUBLICIDAD DIGITAL - WEB: PerúRed</t>
  </si>
  <si>
    <t>PUBLICIDAD DIGITAL - WEB: Red de Fox</t>
  </si>
  <si>
    <t>PUBLICIDAD DIGITAL - WEB: Red Mas</t>
  </si>
  <si>
    <t>PUBLICIDAD DIGITAL - WEB: Redmas contextual</t>
  </si>
  <si>
    <t>PUBLICIDAD DIGITAL - WEB: Semana Económica Mail</t>
  </si>
  <si>
    <t>PUBLICIDAD DIGITAL - WEB: Semana Económica Web</t>
  </si>
  <si>
    <t>PUBLICIDAD DIGITAL - WEB: td1</t>
  </si>
  <si>
    <t>PUBLICIDAD DIGITAL - WEB: Wall TV</t>
  </si>
  <si>
    <t>PUBLICIDAD DIGITAL - WEB: Yahoo Native Ads</t>
  </si>
  <si>
    <t>PUBLICIDAD DIGITAL - WEB: Yahoo Search</t>
  </si>
  <si>
    <t>PUBLICIDAD DIGITAL - WEB: Mercado Negro</t>
  </si>
  <si>
    <t>PUBLICIDAD IMPRESA - DIARIO: Caretas</t>
  </si>
  <si>
    <t>PUBLICIDAD IMPRESA - DIARIO: Correo</t>
  </si>
  <si>
    <t>PUBLICIDAD IMPRESA - DIARIO: El Comercio - Dia 1</t>
  </si>
  <si>
    <t>PUBLICIDAD IMPRESA - DIARIO: El Comercio - Sección A</t>
  </si>
  <si>
    <t>PUBLICIDAD IMPRESA - DIARIO: El Comercio - Urbania</t>
  </si>
  <si>
    <t>PUBLICIDAD IMPRESA - DIARIO: El Peruano</t>
  </si>
  <si>
    <t>PUBLICIDAD IMPRESA - DIARIO: Gestión</t>
  </si>
  <si>
    <t>PUBLICIDAD IMPRESA - DIARIO: Harvard Business Review</t>
  </si>
  <si>
    <t>PUBLICIDAD IMPRESA - DIARIO: La República</t>
  </si>
  <si>
    <t>PUBLICIDAD IMPRESA - DIARIO: Perú 21</t>
  </si>
  <si>
    <t>PUBLICIDAD IMPRESA - REVISTA: América Economía</t>
  </si>
  <si>
    <t>PUBLICIDAD IMPRESA - REVISTA: Caretas</t>
  </si>
  <si>
    <t>PUBLICIDAD IMPRESA - REVISTA: Cosas</t>
  </si>
  <si>
    <t>PUBLICIDAD IMPRESA - REVISTA: Otras Revistas Especializadas</t>
  </si>
  <si>
    <t>PUBLICIDAD IMPRESA - REVISTA: Peru Min</t>
  </si>
  <si>
    <t>PUBLICIDAD IMPRESA - REVISTA: Peru Top Lawyer</t>
  </si>
  <si>
    <t>PUBLICIDAD IMPRESA - REVISTA: PODER</t>
  </si>
  <si>
    <t>PUBLICIDAD IMPRESA - REVISTA: Rumbo Minero</t>
  </si>
  <si>
    <t>PUBLICIDAD IMPRESA - REVISTA: Semana Económica</t>
  </si>
  <si>
    <t>PUBLICIDAD IMPRESA - REVISTA: Somos</t>
  </si>
  <si>
    <t>PUBLICIDAD IMPRESA - REVISTA: Stakeholders</t>
  </si>
  <si>
    <t>PUBLICIDAD IMPRESA - SUPLEMENTO: Suplemento Finanzas El Comercio</t>
  </si>
  <si>
    <t>PUBLICIDAD IMPRESA - SUPLEMENTO: Suplemento Maestrías Día 1</t>
  </si>
  <si>
    <t>PUBLICIDAD IMPRESA - SUPLEMENTO: Suplemento Maestrías El Comercio</t>
  </si>
  <si>
    <t>PUBLICIDAD IMPRESA - SUPLEMENTO: Suplemento Maestrías Gestión</t>
  </si>
  <si>
    <t>PUBLICIDAD IMPRESA - SUPLEMENTO: Suplemento Marketing El Comercio</t>
  </si>
  <si>
    <t>Hermano(a)</t>
  </si>
  <si>
    <t>Hijo/Hija</t>
  </si>
  <si>
    <t>Papá/Mamá</t>
  </si>
  <si>
    <t>Apoderado</t>
  </si>
  <si>
    <t>Primo(a)</t>
  </si>
  <si>
    <t>Tío(a)</t>
  </si>
  <si>
    <t>Abuelo(a)</t>
  </si>
  <si>
    <t>Activo</t>
  </si>
  <si>
    <t>Inactivo</t>
  </si>
  <si>
    <t>Interés 10</t>
  </si>
  <si>
    <t>Interés 11</t>
  </si>
  <si>
    <t>Interés 12</t>
  </si>
  <si>
    <t>EVE-2023-012157</t>
  </si>
  <si>
    <t>1508019</t>
  </si>
  <si>
    <t>EVE-2023-012102</t>
  </si>
  <si>
    <t>0336792</t>
  </si>
  <si>
    <t>EVE-2023-011866</t>
  </si>
  <si>
    <t>0437467</t>
  </si>
  <si>
    <t>EVE-2023-012168</t>
  </si>
  <si>
    <t>EVE-2023-012192</t>
  </si>
  <si>
    <t>1268192</t>
  </si>
  <si>
    <t>EVE-2023-011740</t>
  </si>
  <si>
    <t>1242999</t>
  </si>
  <si>
    <t>EVE-2023-012191</t>
  </si>
  <si>
    <t>EVE-2023-012167</t>
  </si>
  <si>
    <t>1576966</t>
  </si>
  <si>
    <t>CILI: Inscrito por link o Confirmó a CHARLA</t>
  </si>
  <si>
    <t>CMP-10038-Y3C4X9</t>
  </si>
  <si>
    <t>Charla Zoom</t>
  </si>
  <si>
    <t>EVE-2024-014135</t>
  </si>
  <si>
    <t>SANICENTER SAC</t>
  </si>
  <si>
    <t>GERENTE DE PLANIFICACIÓN Y COMPRAS</t>
  </si>
  <si>
    <t>-CILI: Inscrito por link o Confirmó a CHARLA</t>
  </si>
  <si>
    <t>Joe</t>
  </si>
  <si>
    <t>Barreto</t>
  </si>
  <si>
    <t>992368242</t>
  </si>
  <si>
    <t>joebarreto12@gmail.com</t>
  </si>
  <si>
    <t xml:space="preserve">Charla Informativa - </t>
  </si>
  <si>
    <t>Nina Gelato SAC</t>
  </si>
  <si>
    <t>CEO</t>
  </si>
  <si>
    <t>Luis</t>
  </si>
  <si>
    <t>Cassano</t>
  </si>
  <si>
    <t>921289902</t>
  </si>
  <si>
    <t>cassano.luis@gmail.com</t>
  </si>
  <si>
    <t>Autoespar SA</t>
  </si>
  <si>
    <t>Jefe de Ventas</t>
  </si>
  <si>
    <t>Teyla</t>
  </si>
  <si>
    <t>Trujillano</t>
  </si>
  <si>
    <t>976529533</t>
  </si>
  <si>
    <t>ttrujillano@autoesparsanluis.com</t>
  </si>
  <si>
    <t>Na</t>
  </si>
  <si>
    <t>NA</t>
  </si>
  <si>
    <t>Cecilia</t>
  </si>
  <si>
    <t>Salvador</t>
  </si>
  <si>
    <t>933591629</t>
  </si>
  <si>
    <t>cecilia.salvadorc@gmail.com</t>
  </si>
  <si>
    <t>Fuxion Biotech</t>
  </si>
  <si>
    <t>Director Corporativo de Atención al Cliente</t>
  </si>
  <si>
    <t>Enrique</t>
  </si>
  <si>
    <t>Cordova</t>
  </si>
  <si>
    <t>989032665</t>
  </si>
  <si>
    <t>ecordova@fuxion.net</t>
  </si>
  <si>
    <t>Dpw</t>
  </si>
  <si>
    <t>Cristhian</t>
  </si>
  <si>
    <t>Sánchez</t>
  </si>
  <si>
    <t>960522887</t>
  </si>
  <si>
    <t>ceksanchez@gmail.com</t>
  </si>
  <si>
    <t>confipetrol andina sa</t>
  </si>
  <si>
    <t>jefe de mantenimiento</t>
  </si>
  <si>
    <t>Jorge Juan</t>
  </si>
  <si>
    <t>Quispe Cahuana</t>
  </si>
  <si>
    <t>965944563</t>
  </si>
  <si>
    <t>jjhorg_@hotmail.com</t>
  </si>
  <si>
    <t>Corporacion Inmobiliaria Kingsman</t>
  </si>
  <si>
    <t>administrador</t>
  </si>
  <si>
    <t>Ronald</t>
  </si>
  <si>
    <t>Angeles Raqui</t>
  </si>
  <si>
    <t>995555501</t>
  </si>
  <si>
    <t>ronaldangeles1@hotmail.com</t>
  </si>
  <si>
    <t>Amcor</t>
  </si>
  <si>
    <t>PMO Commercial Lead</t>
  </si>
  <si>
    <t>Ismael</t>
  </si>
  <si>
    <t>Huamani</t>
  </si>
  <si>
    <t>972773439</t>
  </si>
  <si>
    <t>ismael.huamani@amcor.com</t>
  </si>
  <si>
    <t>Akelarre.pe</t>
  </si>
  <si>
    <t>Jefe de Marketing</t>
  </si>
  <si>
    <t>Sergio</t>
  </si>
  <si>
    <t>Reyes</t>
  </si>
  <si>
    <t>970897754</t>
  </si>
  <si>
    <t>zreyesblog@gmail.com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</si>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</sst>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00000000"/>
  </numFmts>
  <fonts count="5" x14ac:knownFonts="1">
    <font>
      <sz val="11"/>
      <name val="Calibri"/>
    </font>
    <font>
      <sz val="8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14" fontId="2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0" fontId="4" fillId="2" borderId="2" xfId="0" applyFont="1" applyFill="1" applyBorder="1" applyAlignment="1">
      <alignment horizontal="left" vertical="top"/>
    </xf>
    <xf numFmtId="14" fontId="4" fillId="2" borderId="2" xfId="0" applyNumberFormat="1" applyFont="1" applyFill="1" applyBorder="1" applyAlignment="1">
      <alignment horizontal="left" vertical="top"/>
    </xf>
    <xf numFmtId="164" fontId="4" fillId="2" borderId="2" xfId="0" applyNumberFormat="1" applyFont="1" applyFill="1" applyBorder="1" applyAlignment="1">
      <alignment horizontal="left" vertical="top"/>
    </xf>
    <xf numFmtId="0" fontId="4" fillId="2" borderId="2" xfId="0" applyFont="1" applyFill="1" applyBorder="1" applyAlignment="1">
      <alignment horizontal="left" vertical="top" wrapText="1"/>
    </xf>
    <xf numFmtId="165" fontId="4" fillId="2" borderId="2" xfId="0" applyNumberFormat="1" applyFont="1" applyFill="1" applyBorder="1" applyAlignment="1">
      <alignment horizontal="left" vertical="top"/>
    </xf>
    <xf numFmtId="0" fontId="4" fillId="2" borderId="3" xfId="0" applyFont="1" applyFill="1" applyBorder="1" applyAlignment="1">
      <alignment horizontal="left" vertical="top"/>
    </xf>
    <xf numFmtId="49" fontId="2" fillId="0" borderId="4" xfId="0" applyNumberFormat="1" applyFont="1" applyBorder="1"/>
    <xf numFmtId="49" fontId="2" fillId="0" borderId="5" xfId="0" applyNumberFormat="1" applyFont="1" applyBorder="1"/>
    <xf numFmtId="0" fontId="3" fillId="0" borderId="5" xfId="0" applyFont="1" applyBorder="1"/>
    <xf numFmtId="14" fontId="2" fillId="0" borderId="5" xfId="0" applyNumberFormat="1" applyFont="1" applyBorder="1" applyAlignment="1">
      <alignment vertical="center"/>
    </xf>
    <xf numFmtId="164" fontId="2" fillId="0" borderId="5" xfId="0" applyNumberFormat="1" applyFont="1" applyBorder="1"/>
    <xf numFmtId="14" fontId="2" fillId="0" borderId="5" xfId="0" applyNumberFormat="1" applyFont="1" applyBorder="1"/>
    <xf numFmtId="49" fontId="2" fillId="0" borderId="5" xfId="0" applyNumberFormat="1" applyFont="1" applyBorder="1" applyAlignment="1">
      <alignment horizontal="left" wrapText="1"/>
    </xf>
    <xf numFmtId="49" fontId="2" fillId="0" borderId="5" xfId="0" applyNumberFormat="1" applyFont="1" applyBorder="1" applyAlignment="1">
      <alignment wrapText="1"/>
    </xf>
    <xf numFmtId="165" fontId="2" fillId="0" borderId="5" xfId="0" applyNumberFormat="1" applyFont="1" applyBorder="1" applyAlignment="1">
      <alignment horizontal="left"/>
    </xf>
    <xf numFmtId="0" fontId="2" fillId="0" borderId="5" xfId="0" applyFont="1" applyBorder="1"/>
    <xf numFmtId="49" fontId="2" fillId="0" borderId="6" xfId="0" applyNumberFormat="1" applyFont="1" applyBorder="1"/>
    <xf numFmtId="49" fontId="2" fillId="0" borderId="5" xfId="0" quotePrefix="1" applyNumberFormat="1" applyFont="1" applyBorder="1"/>
    <xf numFmtId="49" fontId="2" fillId="0" borderId="4" xfId="0" applyNumberFormat="1" applyFont="1" applyFill="1" applyBorder="1"/>
    <xf numFmtId="49" fontId="2" fillId="0" borderId="5" xfId="0" applyNumberFormat="1" applyFont="1" applyFill="1" applyBorder="1"/>
    <xf numFmtId="14" fontId="2" fillId="0" borderId="5" xfId="0" applyNumberFormat="1" applyFont="1" applyFill="1" applyBorder="1" applyAlignment="1">
      <alignment vertical="center"/>
    </xf>
    <xf numFmtId="164" fontId="2" fillId="0" borderId="5" xfId="0" applyNumberFormat="1" applyFont="1" applyFill="1" applyBorder="1"/>
    <xf numFmtId="14" fontId="2" fillId="0" borderId="5" xfId="0" applyNumberFormat="1" applyFont="1" applyFill="1" applyBorder="1"/>
    <xf numFmtId="49" fontId="2" fillId="0" borderId="5" xfId="0" applyNumberFormat="1" applyFont="1" applyFill="1" applyBorder="1" applyAlignment="1">
      <alignment horizontal="left" wrapText="1"/>
    </xf>
    <xf numFmtId="49" fontId="2" fillId="0" borderId="5" xfId="0" applyNumberFormat="1" applyFont="1" applyFill="1" applyBorder="1" applyAlignment="1">
      <alignment wrapText="1"/>
    </xf>
    <xf numFmtId="165" fontId="2" fillId="0" borderId="5" xfId="0" applyNumberFormat="1" applyFont="1" applyFill="1" applyBorder="1" applyAlignment="1">
      <alignment horizontal="left"/>
    </xf>
    <xf numFmtId="0" fontId="2" fillId="0" borderId="5" xfId="0" applyFont="1" applyFill="1" applyBorder="1"/>
    <xf numFmtId="49" fontId="2" fillId="0" borderId="6" xfId="0" applyNumberFormat="1" applyFont="1" applyFill="1" applyBorder="1"/>
    <xf numFmtId="49" fontId="2" fillId="3" borderId="5" xfId="0" applyNumberFormat="1" applyFont="1" applyFill="1" applyBorder="1"/>
    <xf numFmtId="49" fontId="2" fillId="3" borderId="0" xfId="0" applyNumberFormat="1" applyFont="1" applyFill="1"/>
  </cellXfs>
  <cellStyles count="1">
    <cellStyle name="Normal" xfId="0" builtinId="0"/>
  </cellStyles>
  <dxfs count="164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/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00000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dd/mm/yy;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>
        <left/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 style="thin">
          <color theme="8" tint="-0.499984740745262"/>
        </vertical>
        <horizontal style="thin">
          <color theme="8" tint="-0.499984740745262"/>
        </horizontal>
      </border>
    </dxf>
    <dxf>
      <border>
        <top style="thin">
          <color theme="8" tint="-0.499984740745262"/>
        </top>
      </border>
    </dxf>
    <dxf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theme="8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left" vertical="top" textRotation="0" indent="0" justifyLastLine="0" shrinkToFit="0" readingOrder="0"/>
      <border diagonalUp="0" diagonalDown="0">
        <left style="thin">
          <color theme="8" tint="-0.499984740745262"/>
        </left>
        <right style="thin">
          <color theme="8" tint="-0.499984740745262"/>
        </right>
        <top/>
        <bottom/>
        <vertical style="thin">
          <color theme="8" tint="-0.499984740745262"/>
        </vertical>
        <horizontal style="thin">
          <color theme="8" tint="-0.499984740745262"/>
        </horizontal>
      </border>
    </dxf>
    <dxf>
      <fill>
        <patternFill>
          <bgColor theme="8" tint="0.79998168889431442"/>
        </patternFill>
      </fill>
    </dxf>
  </dxfs>
  <tableStyles count="2" defaultTableStyle="Estilo de tabla 1" defaultPivotStyle="PivotStyleLight16">
    <tableStyle name="Estilo de tabla 1" pivot="0" count="1" xr9:uid="{25659075-BB3C-4BB1-A758-EC36848940D4}">
      <tableStyleElement type="secondRowStripe" dxfId="163"/>
    </tableStyle>
    <tableStyle name="Invisible" pivot="0" table="0" count="0" xr9:uid="{18C46CE3-C6C2-4C74-9BB1-6891F96AA95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1691173</xdr:colOff>
      <xdr:row>2</xdr:row>
      <xdr:rowOff>97195</xdr:rowOff>
    </xdr:from>
    <xdr:to>
      <xdr:col>2</xdr:col>
      <xdr:colOff>2077058</xdr:colOff>
      <xdr:row>4</xdr:row>
      <xdr:rowOff>113743</xdr:rowOff>
    </xdr:to>
    <xdr:pic macro="[0]!OcultarColumnas">
      <xdr:nvPicPr>
        <xdr:cNvPr id="8" name="Imagen 7">
          <a:extLst>
            <a:ext uri="{FF2B5EF4-FFF2-40B4-BE49-F238E27FC236}">
              <a16:creationId xmlns:a16="http://schemas.microsoft.com/office/drawing/2014/main" id="{6C2DF10E-1A0A-75C5-52AE-937F14235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27525" y="427654"/>
          <a:ext cx="385885" cy="385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1135914</xdr:colOff>
      <xdr:row>2</xdr:row>
      <xdr:rowOff>97195</xdr:rowOff>
    </xdr:from>
    <xdr:to>
      <xdr:col>2</xdr:col>
      <xdr:colOff>1517272</xdr:colOff>
      <xdr:row>4</xdr:row>
      <xdr:rowOff>116634</xdr:rowOff>
    </xdr:to>
    <xdr:pic macro="[0]!ImportarYMapear">
      <xdr:nvPicPr>
        <xdr:cNvPr id="9" name="Imagen 8">
          <a:extLst>
            <a:ext uri="{FF2B5EF4-FFF2-40B4-BE49-F238E27FC236}">
              <a16:creationId xmlns:a16="http://schemas.microsoft.com/office/drawing/2014/main" id="{80CD2A51-C379-6D5E-A82F-D0EEDDD43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2266" y="427654"/>
          <a:ext cx="381358" cy="388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522790</xdr:colOff>
      <xdr:row>2</xdr:row>
      <xdr:rowOff>19439</xdr:rowOff>
    </xdr:from>
    <xdr:to>
      <xdr:col>2</xdr:col>
      <xdr:colOff>942140</xdr:colOff>
      <xdr:row>4</xdr:row>
      <xdr:rowOff>77756</xdr:rowOff>
    </xdr:to>
    <xdr:pic macro="[0]!LimpiarRegistros">
      <xdr:nvPicPr>
        <xdr:cNvPr id="10" name="Imagen 9">
          <a:extLst>
            <a:ext uri="{FF2B5EF4-FFF2-40B4-BE49-F238E27FC236}">
              <a16:creationId xmlns:a16="http://schemas.microsoft.com/office/drawing/2014/main" id="{4657BE00-5701-25C2-BE2E-B2E9A2531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142" y="349898"/>
          <a:ext cx="419350" cy="427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B11" totalsRowShown="0" headerRowDxfId="162" dataDxfId="160" headerRowBorderDxfId="161" tableBorderDxfId="159" totalsRowBorderDxfId="158">
  <autoFilter ref="A1:FB11" xr:uid="{00000000-000C-0000-FFFF-FFFF00000000}"/>
  <tableColumns count="158">
    <tableColumn id="4" xr3:uid="{00000000-0010-0000-0000-000004000000}" name="Indicador de Conexiones" dataDxfId="157"/>
    <tableColumn id="5" xr3:uid="{00000000-0010-0000-0000-000005000000}" name="Rol de (Descripción)" dataDxfId="156"/>
    <tableColumn id="6" xr3:uid="{00000000-0010-0000-0000-000006000000}" name="Rol Para (Descripción)" dataDxfId="155"/>
    <tableColumn id="7" xr3:uid="{00000000-0010-0000-0000-000007000000}" name="Código de campaña" dataDxfId="154"/>
    <tableColumn id="8" xr3:uid="{00000000-0010-0000-0000-000008000000}" name="Propietario CNX" dataDxfId="153"/>
    <tableColumn id="9" xr3:uid="{00000000-0010-0000-0000-000009000000}" name="Descripción CNX" dataDxfId="152"/>
    <tableColumn id="10" xr3:uid="{00000000-0010-0000-0000-00000A000000}" name="UTM Campaign" dataDxfId="151"/>
    <tableColumn id="11" xr3:uid="{00000000-0010-0000-0000-00000B000000}" name="UTM Source" dataDxfId="150"/>
    <tableColumn id="12" xr3:uid="{00000000-0010-0000-0000-00000C000000}" name="UTM Medium" dataDxfId="149"/>
    <tableColumn id="13" xr3:uid="{00000000-0010-0000-0000-00000D000000}" name="UTM Content" dataDxfId="148"/>
    <tableColumn id="14" xr3:uid="{00000000-0010-0000-0000-00000E000000}" name="UTM Term" dataDxfId="147"/>
    <tableColumn id="15" xr3:uid="{00000000-0010-0000-0000-00000F000000}" name="Fecha de ingreso" dataDxfId="146"/>
    <tableColumn id="16" xr3:uid="{00000000-0010-0000-0000-000010000000}" name="Comentario" dataDxfId="145"/>
    <tableColumn id="17" xr3:uid="{00000000-0010-0000-0000-000011000000}" name="Sede" dataDxfId="144"/>
    <tableColumn id="18" xr3:uid="{00000000-0010-0000-0000-000012000000}" name="Indicador participación a evento" dataDxfId="143"/>
    <tableColumn id="19" xr3:uid="{00000000-0010-0000-0000-000013000000}" name="Código de Evento" dataDxfId="142"/>
    <tableColumn id="20" xr3:uid="{00000000-0010-0000-0000-000014000000}" name="Inscrito" dataDxfId="141"/>
    <tableColumn id="21" xr3:uid="{00000000-0010-0000-0000-000015000000}" name="Fecha de inscripción a evento" dataDxfId="140"/>
    <tableColumn id="22" xr3:uid="{00000000-0010-0000-0000-000016000000}" name="Asistio a evento" dataDxfId="139"/>
    <tableColumn id="23" xr3:uid="{00000000-0010-0000-0000-000017000000}" name="Fecha de asistencia a evento" dataDxfId="138"/>
    <tableColumn id="24" xr3:uid="{00000000-0010-0000-0000-000018000000}" name="Confirmó" dataDxfId="137"/>
    <tableColumn id="25" xr3:uid="{00000000-0010-0000-0000-000019000000}" name="Fecha de confirmación" dataDxfId="136"/>
    <tableColumn id="26" xr3:uid="{00000000-0010-0000-0000-00001A000000}" name="Pagó" dataDxfId="135"/>
    <tableColumn id="27" xr3:uid="{00000000-0010-0000-0000-00001B000000}" name="Descripción de participación" dataDxfId="134"/>
    <tableColumn id="28" xr3:uid="{00000000-0010-0000-0000-00001C000000}" name="Fuente Participación Evento" dataDxfId="133"/>
    <tableColumn id="29" xr3:uid="{00000000-0010-0000-0000-00001D000000}" name="Indicador de base de datos" dataDxfId="132"/>
    <tableColumn id="30" xr3:uid="{00000000-0010-0000-0000-00001E000000}" name="Código de base de datos" dataDxfId="131"/>
    <tableColumn id="31" xr3:uid="{00000000-0010-0000-0000-00001F000000}" name="Base de datos" dataDxfId="130"/>
    <tableColumn id="32" xr3:uid="{00000000-0010-0000-0000-000020000000}" name="Indicador de Interes" dataDxfId="129"/>
    <tableColumn id="33" xr3:uid="{00000000-0010-0000-0000-000021000000}" name="Interés 1" dataDxfId="128"/>
    <tableColumn id="34" xr3:uid="{00000000-0010-0000-0000-000022000000}" name="Interés 2" dataDxfId="127"/>
    <tableColumn id="35" xr3:uid="{00000000-0010-0000-0000-000023000000}" name="Interés 3" dataDxfId="126"/>
    <tableColumn id="36" xr3:uid="{00000000-0010-0000-0000-000024000000}" name="Interés 4" dataDxfId="125"/>
    <tableColumn id="37" xr3:uid="{00000000-0010-0000-0000-000025000000}" name="Interés 5" dataDxfId="124"/>
    <tableColumn id="1" xr3:uid="{61EFAC93-452A-48E2-9744-B9EB1A2229EE}" name="Interés 6" dataDxfId="123"/>
    <tableColumn id="38" xr3:uid="{00000000-0010-0000-0000-000026000000}" name="Interés 7" dataDxfId="122"/>
    <tableColumn id="39" xr3:uid="{00000000-0010-0000-0000-000027000000}" name="Interés 8" dataDxfId="121"/>
    <tableColumn id="2" xr3:uid="{1C1D5544-8823-4F9D-B514-82DB20739873}" name="Interés 9" dataDxfId="120"/>
    <tableColumn id="40" xr3:uid="{00000000-0010-0000-0000-000028000000}" name="Interés 10" dataDxfId="119"/>
    <tableColumn id="3" xr3:uid="{EF77BC59-0767-4F80-87FA-70A853B63818}" name="Interés 11" dataDxfId="118"/>
    <tableColumn id="41" xr3:uid="{00000000-0010-0000-0000-000029000000}" name="Interés 12" dataDxfId="117"/>
    <tableColumn id="42" xr3:uid="{00000000-0010-0000-0000-00002A000000}" name="Indicador autorización de datos" dataDxfId="116"/>
    <tableColumn id="43" xr3:uid="{00000000-0010-0000-0000-00002B000000}" name="Autorizacion uso datos por terceros" dataDxfId="115"/>
    <tableColumn id="44" xr3:uid="{00000000-0010-0000-0000-00002C000000}" name="Autorizacion uso datos por UP" dataDxfId="114"/>
    <tableColumn id="45" xr3:uid="{00000000-0010-0000-0000-00002D000000}" name="Entity ID" dataDxfId="113"/>
    <tableColumn id="46" xr3:uid="{00000000-0010-0000-0000-00002E000000}" name="Power Campus ID" dataDxfId="112"/>
    <tableColumn id="47" xr3:uid="{00000000-0010-0000-0000-00002F000000}" name="Tipo de documento" dataDxfId="111"/>
    <tableColumn id="48" xr3:uid="{00000000-0010-0000-0000-000030000000}" name="Número de documento" dataDxfId="110"/>
    <tableColumn id="49" xr3:uid="{00000000-0010-0000-0000-000031000000}" name="Tema" dataDxfId="109"/>
    <tableColumn id="50" xr3:uid="{00000000-0010-0000-0000-000032000000}" name="Primer nombre" dataDxfId="108"/>
    <tableColumn id="51" xr3:uid="{00000000-0010-0000-0000-000033000000}" name="Segundo y tercer nombre" dataDxfId="107"/>
    <tableColumn id="52" xr3:uid="{00000000-0010-0000-0000-000034000000}" name="Apellido paterno" dataDxfId="106"/>
    <tableColumn id="53" xr3:uid="{00000000-0010-0000-0000-000035000000}" name="Apellido materno" dataDxfId="105"/>
    <tableColumn id="54" xr3:uid="{00000000-0010-0000-0000-000036000000}" name="Descripción" dataDxfId="104"/>
    <tableColumn id="55" xr3:uid="{00000000-0010-0000-0000-000037000000}" name="Número de Secuencia" dataDxfId="103"/>
    <tableColumn id="56" xr3:uid="{00000000-0010-0000-0000-000038000000}" name="Saludo" dataDxfId="102"/>
    <tableColumn id="57" xr3:uid="{00000000-0010-0000-0000-000039000000}" name="Alias" dataDxfId="101"/>
    <tableColumn id="58" xr3:uid="{00000000-0010-0000-0000-00003A000000}" name="País de origen (Código)" dataDxfId="100"/>
    <tableColumn id="59" xr3:uid="{00000000-0010-0000-0000-00003B000000}" name="Fecha de Nacimiento" dataDxfId="99"/>
    <tableColumn id="60" xr3:uid="{00000000-0010-0000-0000-00003C000000}" name="Género" dataDxfId="98"/>
    <tableColumn id="61" xr3:uid="{00000000-0010-0000-0000-00003D000000}" name="Estado civil" dataDxfId="97"/>
    <tableColumn id="62" xr3:uid="{00000000-0010-0000-0000-00003E000000}" name="Tipo de teléfono #1" dataDxfId="96"/>
    <tableColumn id="63" xr3:uid="{00000000-0010-0000-0000-00003F000000}" name="Tipo de teléfono #2" dataDxfId="95"/>
    <tableColumn id="64" xr3:uid="{00000000-0010-0000-0000-000040000000}" name="Tipo de teléfono #3" dataDxfId="94"/>
    <tableColumn id="65" xr3:uid="{00000000-0010-0000-0000-000041000000}" name="Tipo de teléfono #4" dataDxfId="93"/>
    <tableColumn id="66" xr3:uid="{00000000-0010-0000-0000-000042000000}" name="Tipo de teléfono #5" dataDxfId="92"/>
    <tableColumn id="67" xr3:uid="{00000000-0010-0000-0000-000043000000}" name="Número de teléfono #1" dataDxfId="91"/>
    <tableColumn id="68" xr3:uid="{00000000-0010-0000-0000-000044000000}" name="Número de teléfono #2" dataDxfId="90"/>
    <tableColumn id="69" xr3:uid="{00000000-0010-0000-0000-000045000000}" name="Número de teléfono #3" dataDxfId="89"/>
    <tableColumn id="70" xr3:uid="{00000000-0010-0000-0000-000046000000}" name="Número de teléfono #4" dataDxfId="88"/>
    <tableColumn id="71" xr3:uid="{00000000-0010-0000-0000-000047000000}" name="Número de teléfono #5" dataDxfId="87"/>
    <tableColumn id="72" xr3:uid="{00000000-0010-0000-0000-000048000000}" name="Anexo #1" dataDxfId="86"/>
    <tableColumn id="73" xr3:uid="{00000000-0010-0000-0000-000049000000}" name="Anexo #2" dataDxfId="85"/>
    <tableColumn id="74" xr3:uid="{00000000-0010-0000-0000-00004A000000}" name="Anexo #3" dataDxfId="84"/>
    <tableColumn id="75" xr3:uid="{00000000-0010-0000-0000-00004B000000}" name="Anexo #4" dataDxfId="83"/>
    <tableColumn id="76" xr3:uid="{00000000-0010-0000-0000-00004C000000}" name="Anexo #5" dataDxfId="82"/>
    <tableColumn id="77" xr3:uid="{00000000-0010-0000-0000-00004D000000}" name="Telefono Principal #1" dataDxfId="81"/>
    <tableColumn id="78" xr3:uid="{00000000-0010-0000-0000-00004E000000}" name="Telefono Principal #2" dataDxfId="80"/>
    <tableColumn id="79" xr3:uid="{00000000-0010-0000-0000-00004F000000}" name="Telefono Principal #3" dataDxfId="79"/>
    <tableColumn id="80" xr3:uid="{00000000-0010-0000-0000-000050000000}" name="Telefono Principal #4" dataDxfId="78"/>
    <tableColumn id="81" xr3:uid="{00000000-0010-0000-0000-000051000000}" name="Telefono Principal #5" dataDxfId="77"/>
    <tableColumn id="82" xr3:uid="{00000000-0010-0000-0000-000052000000}" name="Dirección de correo electrónico #1" dataDxfId="76"/>
    <tableColumn id="83" xr3:uid="{00000000-0010-0000-0000-000053000000}" name="Dirección de correo electrónico #2" dataDxfId="75"/>
    <tableColumn id="84" xr3:uid="{00000000-0010-0000-0000-000054000000}" name="Dirección de correo electrónico #3" dataDxfId="74"/>
    <tableColumn id="85" xr3:uid="{00000000-0010-0000-0000-000055000000}" name="Dirección de correo electrónico #4" dataDxfId="73"/>
    <tableColumn id="86" xr3:uid="{00000000-0010-0000-0000-000056000000}" name="Dirección de correo electrónico #5" dataDxfId="72"/>
    <tableColumn id="87" xr3:uid="{00000000-0010-0000-0000-000057000000}" name="Tipo correo electrónico #1" dataDxfId="71"/>
    <tableColumn id="88" xr3:uid="{00000000-0010-0000-0000-000058000000}" name="Tipo correo electrónico #2" dataDxfId="70"/>
    <tableColumn id="89" xr3:uid="{00000000-0010-0000-0000-000059000000}" name="Tipo correo electrónico #3" dataDxfId="69"/>
    <tableColumn id="90" xr3:uid="{00000000-0010-0000-0000-00005A000000}" name="Tipo correo electrónico #4" dataDxfId="68"/>
    <tableColumn id="91" xr3:uid="{00000000-0010-0000-0000-00005B000000}" name="Tipo correo electrónico #5" dataDxfId="67"/>
    <tableColumn id="92" xr3:uid="{00000000-0010-0000-0000-00005C000000}" name="Email Principal #1" dataDxfId="66"/>
    <tableColumn id="93" xr3:uid="{00000000-0010-0000-0000-00005D000000}" name="Email Principal #2" dataDxfId="65"/>
    <tableColumn id="94" xr3:uid="{00000000-0010-0000-0000-00005E000000}" name="Email Principal #3" dataDxfId="64"/>
    <tableColumn id="95" xr3:uid="{00000000-0010-0000-0000-00005F000000}" name="Email Principal #4" dataDxfId="63"/>
    <tableColumn id="96" xr3:uid="{00000000-0010-0000-0000-000060000000}" name="Email Principal #5" dataDxfId="62"/>
    <tableColumn id="97" xr3:uid="{00000000-0010-0000-0000-000061000000}" name="Institución Educativa (RUC)" dataDxfId="61"/>
    <tableColumn id="98" xr3:uid="{00000000-0010-0000-0000-000062000000}" name="Carrera" dataDxfId="60"/>
    <tableColumn id="99" xr3:uid="{00000000-0010-0000-0000-000063000000}" name="Área" dataDxfId="59"/>
    <tableColumn id="100" xr3:uid="{00000000-0010-0000-0000-000064000000}" name="Descripción de institución educativa" dataDxfId="58"/>
    <tableColumn id="101" xr3:uid="{00000000-0010-0000-0000-000065000000}" name="Grado Académico" dataDxfId="57"/>
    <tableColumn id="102" xr3:uid="{00000000-0010-0000-0000-000066000000}" name="Grado de colegio actual" dataDxfId="56"/>
    <tableColumn id="103" xr3:uid="{00000000-0010-0000-0000-000067000000}" name="Bachillerato" dataDxfId="55"/>
    <tableColumn id="104" xr3:uid="{00000000-0010-0000-0000-000068000000}" name="Colegio (Código Modular)" dataDxfId="54"/>
    <tableColumn id="105" xr3:uid="{00000000-0010-0000-0000-000069000000}" name="Datos adicionales académicos" dataDxfId="53"/>
    <tableColumn id="106" xr3:uid="{00000000-0010-0000-0000-00006A000000}" name="Año bachiller" dataDxfId="52"/>
    <tableColumn id="107" xr3:uid="{00000000-0010-0000-0000-00006B000000}" name="Año egreso" dataDxfId="51"/>
    <tableColumn id="108" xr3:uid="{00000000-0010-0000-0000-00006C000000}" name="Empresa (RUC)" dataDxfId="50"/>
    <tableColumn id="109" xr3:uid="{00000000-0010-0000-0000-00006D000000}" name="Razon Social" dataDxfId="49"/>
    <tableColumn id="110" xr3:uid="{00000000-0010-0000-0000-00006E000000}" name="Categoría del cargo" dataDxfId="48"/>
    <tableColumn id="111" xr3:uid="{00000000-0010-0000-0000-00006F000000}" name="Área funcional" dataDxfId="47"/>
    <tableColumn id="112" xr3:uid="{00000000-0010-0000-0000-000070000000}" name="Cargo" dataDxfId="46"/>
    <tableColumn id="113" xr3:uid="{00000000-0010-0000-0000-000071000000}" name="Años de experiencia laboral posterior al bachiller" dataDxfId="45"/>
    <tableColumn id="114" xr3:uid="{00000000-0010-0000-0000-000072000000}" name="Fecha de inicio laboral" dataDxfId="44"/>
    <tableColumn id="115" xr3:uid="{00000000-0010-0000-0000-000073000000}" name="Dirección" dataDxfId="43"/>
    <tableColumn id="116" xr3:uid="{00000000-0010-0000-0000-000074000000}" name="Tipo de dirección" dataDxfId="42"/>
    <tableColumn id="117" xr3:uid="{00000000-0010-0000-0000-000075000000}" name="Prefijo dirección" dataDxfId="41"/>
    <tableColumn id="118" xr3:uid="{00000000-0010-0000-0000-000076000000}" name="Prefijo localidad" dataDxfId="40"/>
    <tableColumn id="119" xr3:uid="{00000000-0010-0000-0000-000077000000}" name="País (Código)" dataDxfId="39"/>
    <tableColumn id="120" xr3:uid="{00000000-0010-0000-0000-000078000000}" name="Departamento (Código)" dataDxfId="38"/>
    <tableColumn id="121" xr3:uid="{00000000-0010-0000-0000-000079000000}" name="Provincia (Código)" dataDxfId="37"/>
    <tableColumn id="122" xr3:uid="{00000000-0010-0000-0000-00007A000000}" name="Distrito (Código)" dataDxfId="36"/>
    <tableColumn id="123" xr3:uid="{00000000-0010-0000-0000-00007B000000}" name="Fuente" dataDxfId="35"/>
    <tableColumn id="124" xr3:uid="{00000000-0010-0000-0000-00007C000000}" name="Medio" dataDxfId="34"/>
    <tableColumn id="125" xr3:uid="{00000000-0010-0000-0000-00007D000000}" name="Medio específico" dataDxfId="33"/>
    <tableColumn id="126" xr3:uid="{00000000-0010-0000-0000-00007E000000}" name="Power Campus ID Relacionado" dataDxfId="32"/>
    <tableColumn id="127" xr3:uid="{00000000-0010-0000-0000-00007F000000}" name="ID Relacionado" dataDxfId="31"/>
    <tableColumn id="128" xr3:uid="{00000000-0010-0000-0000-000080000000}" name="Tipo de documento Relacionado" dataDxfId="30"/>
    <tableColumn id="129" xr3:uid="{00000000-0010-0000-0000-000081000000}" name="Número de documento Relacionado" dataDxfId="29"/>
    <tableColumn id="130" xr3:uid="{00000000-0010-0000-0000-000082000000}" name="Primer Nombre Relacionado" dataDxfId="28"/>
    <tableColumn id="131" xr3:uid="{00000000-0010-0000-0000-000083000000}" name="Segundo y tercer nombre Relacionado" dataDxfId="27"/>
    <tableColumn id="132" xr3:uid="{00000000-0010-0000-0000-000084000000}" name="Apellido paterno Relacionado" dataDxfId="26"/>
    <tableColumn id="133" xr3:uid="{00000000-0010-0000-0000-000085000000}" name="Apellido Materno Relacionado" dataDxfId="25"/>
    <tableColumn id="134" xr3:uid="{00000000-0010-0000-0000-000086000000}" name="Género Relacionado" dataDxfId="24"/>
    <tableColumn id="135" xr3:uid="{00000000-0010-0000-0000-000087000000}" name="Fuente Relacionado" dataDxfId="23"/>
    <tableColumn id="136" xr3:uid="{00000000-0010-0000-0000-000088000000}" name="Número de Secuencia Relacionado" dataDxfId="22"/>
    <tableColumn id="137" xr3:uid="{00000000-0010-0000-0000-000089000000}" name="Indicador conexiones familiar" dataDxfId="21"/>
    <tableColumn id="138" xr3:uid="{00000000-0010-0000-0000-00008A000000}" name="Tipo de relación" dataDxfId="20"/>
    <tableColumn id="139" xr3:uid="{00000000-0010-0000-0000-00008B000000}" name="Indicar asistencia a evento Relacionado" dataDxfId="19"/>
    <tableColumn id="140" xr3:uid="{00000000-0010-0000-0000-00008C000000}" name="Inscrito Relacionado" dataDxfId="18"/>
    <tableColumn id="141" xr3:uid="{00000000-0010-0000-0000-00008D000000}" name="Asistio Relacionado" dataDxfId="17"/>
    <tableColumn id="142" xr3:uid="{00000000-0010-0000-0000-00008E000000}" name="Fuente asistencia relacionado" dataDxfId="16"/>
    <tableColumn id="143" xr3:uid="{00000000-0010-0000-0000-00008F000000}" name="Tipo de teléfono #1 relacionado" dataDxfId="15"/>
    <tableColumn id="144" xr3:uid="{00000000-0010-0000-0000-000090000000}" name="Tipo de teléfono #2 Relacionado" dataDxfId="14"/>
    <tableColumn id="145" xr3:uid="{00000000-0010-0000-0000-000091000000}" name="Número de teléfono #1 Relacionado" dataDxfId="13"/>
    <tableColumn id="146" xr3:uid="{00000000-0010-0000-0000-000092000000}" name="Número de teléfono #2 Relacionado" dataDxfId="12"/>
    <tableColumn id="147" xr3:uid="{00000000-0010-0000-0000-000093000000}" name="Teléfono Principal #1 Relacionado" dataDxfId="11"/>
    <tableColumn id="148" xr3:uid="{00000000-0010-0000-0000-000094000000}" name="Teléfono Principal #2 Relacionado" dataDxfId="10"/>
    <tableColumn id="149" xr3:uid="{00000000-0010-0000-0000-000095000000}" name="Dirección de correo electrónico #1 relacionado" dataDxfId="9"/>
    <tableColumn id="150" xr3:uid="{00000000-0010-0000-0000-000096000000}" name="Dirección de correo electrónico #2 relacionado" dataDxfId="8"/>
    <tableColumn id="151" xr3:uid="{00000000-0010-0000-0000-000097000000}" name="Tipo correo electrónico #1 relacionado" dataDxfId="7"/>
    <tableColumn id="152" xr3:uid="{00000000-0010-0000-0000-000098000000}" name="Tipo correo electrónico #2 relacionado" dataDxfId="6"/>
    <tableColumn id="153" xr3:uid="{00000000-0010-0000-0000-000099000000}" name="Email Principal #1 Relacionado" dataDxfId="5"/>
    <tableColumn id="154" xr3:uid="{00000000-0010-0000-0000-00009A000000}" name="Email Principal #2 Relacionado" dataDxfId="4"/>
    <tableColumn id="155" xr3:uid="{00000000-0010-0000-0000-00009B000000}" name="Nombre" dataDxfId="3"/>
    <tableColumn id="156" xr3:uid="{00000000-0010-0000-0000-00009C000000}" name="Propietario" dataDxfId="2"/>
    <tableColumn id="157" xr3:uid="{00000000-0010-0000-0000-00009D000000}" name="Estado" dataDxfId="1"/>
    <tableColumn id="158" xr3:uid="{00000000-0010-0000-0000-00009E000000}" name="Razón para el estado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FB11"/>
  <sheetViews>
    <sheetView tabSelected="1" zoomScale="98" zoomScaleNormal="98" workbookViewId="0">
      <pane ySplit="1" topLeftCell="A2" activePane="bottomLeft" state="frozen"/>
      <selection activeCell="F1" sqref="F1"/>
      <selection pane="bottomLeft" activeCell="I25" sqref="I25"/>
    </sheetView>
  </sheetViews>
  <sheetFormatPr baseColWidth="10" defaultColWidth="42.140625" defaultRowHeight="12.75" x14ac:dyDescent="0.2"/>
  <cols>
    <col min="1" max="1" width="22.85546875" style="5" bestFit="1" customWidth="1"/>
    <col min="2" max="2" width="36.140625" style="5" bestFit="1" customWidth="1"/>
    <col min="3" max="3" width="35.5703125" style="5" bestFit="1" customWidth="1"/>
    <col min="4" max="4" width="18.85546875" style="5" bestFit="1" customWidth="1"/>
    <col min="5" max="5" width="16.7109375" style="39" bestFit="1" customWidth="1"/>
    <col min="6" max="6" width="16.140625" style="5" customWidth="1"/>
    <col min="7" max="7" width="22.42578125" style="5" customWidth="1"/>
    <col min="8" max="8" width="12.85546875" style="5" customWidth="1"/>
    <col min="9" max="9" width="14.140625" style="5" customWidth="1"/>
    <col min="10" max="10" width="14" style="5" customWidth="1"/>
    <col min="11" max="11" width="12.28515625" style="5" customWidth="1"/>
    <col min="12" max="12" width="16.5703125" style="2" customWidth="1"/>
    <col min="13" max="13" width="12.85546875" style="5" customWidth="1"/>
    <col min="14" max="14" width="7.28515625" style="5" customWidth="1"/>
    <col min="15" max="15" width="28.85546875" style="5" customWidth="1"/>
    <col min="16" max="16" width="17.140625" style="5" customWidth="1"/>
    <col min="17" max="17" width="9.140625" style="5" customWidth="1"/>
    <col min="18" max="18" width="26.85546875" style="3" customWidth="1"/>
    <col min="19" max="19" width="16" style="5" customWidth="1"/>
    <col min="20" max="20" width="26.140625" style="2" customWidth="1"/>
    <col min="21" max="21" width="10.7109375" style="5" customWidth="1"/>
    <col min="22" max="22" width="21.140625" style="2" customWidth="1"/>
    <col min="23" max="23" width="7.140625" style="5" customWidth="1"/>
    <col min="24" max="24" width="25.7109375" style="6" customWidth="1"/>
    <col min="25" max="25" width="25.85546875" style="5" customWidth="1"/>
    <col min="26" max="26" width="24.7109375" style="5" customWidth="1"/>
    <col min="27" max="27" width="22.7109375" style="5" customWidth="1"/>
    <col min="28" max="28" width="14.5703125" style="5" customWidth="1"/>
    <col min="29" max="29" width="19.42578125" style="5" customWidth="1"/>
    <col min="30" max="30" width="22.5703125" style="7" customWidth="1"/>
    <col min="31" max="31" width="20.5703125" style="7" customWidth="1"/>
    <col min="32" max="32" width="16.5703125" style="7" customWidth="1"/>
    <col min="33" max="33" width="17.85546875" style="7" customWidth="1"/>
    <col min="34" max="34" width="17.140625" style="7" customWidth="1"/>
    <col min="35" max="35" width="29" style="7" customWidth="1"/>
    <col min="36" max="36" width="33.28515625" style="7" customWidth="1"/>
    <col min="37" max="37" width="28.5703125" style="7" customWidth="1"/>
    <col min="38" max="38" width="37.7109375" style="7" customWidth="1"/>
    <col min="39" max="39" width="18.28515625" style="7" customWidth="1"/>
    <col min="40" max="40" width="30.7109375" style="7" customWidth="1"/>
    <col min="41" max="41" width="34" style="5" customWidth="1"/>
    <col min="42" max="42" width="28.28515625" style="5" customWidth="1"/>
    <col min="43" max="43" width="32" style="5" customWidth="1"/>
    <col min="44" max="44" width="27.42578125" style="5" customWidth="1"/>
    <col min="45" max="45" width="10" style="5" customWidth="1"/>
    <col min="46" max="46" width="17.28515625" style="5" customWidth="1"/>
    <col min="47" max="47" width="19" style="5" customWidth="1"/>
    <col min="48" max="48" width="22.28515625" style="4" customWidth="1"/>
    <col min="49" max="49" width="20.85546875" style="5" customWidth="1"/>
    <col min="50" max="50" width="16.7109375" style="5" customWidth="1"/>
    <col min="51" max="51" width="24" style="5" customWidth="1"/>
    <col min="52" max="52" width="18.28515625" style="5" customWidth="1"/>
    <col min="53" max="53" width="36" style="5" customWidth="1"/>
    <col min="54" max="54" width="12.42578125" style="5" customWidth="1"/>
    <col min="55" max="55" width="20.85546875" style="5" customWidth="1"/>
    <col min="56" max="56" width="8.5703125" style="5" customWidth="1"/>
    <col min="57" max="57" width="7" style="5" customWidth="1"/>
    <col min="58" max="58" width="21.5703125" style="5" customWidth="1"/>
    <col min="59" max="59" width="20.140625" style="2" customWidth="1"/>
    <col min="60" max="60" width="9.5703125" style="5" customWidth="1"/>
    <col min="61" max="61" width="12" style="5" customWidth="1"/>
    <col min="62" max="66" width="19" style="5" customWidth="1"/>
    <col min="67" max="71" width="22.28515625" style="5" customWidth="1"/>
    <col min="72" max="76" width="10.7109375" style="5" customWidth="1"/>
    <col min="77" max="81" width="20" style="5" customWidth="1"/>
    <col min="82" max="82" width="34.85546875" style="5" customWidth="1"/>
    <col min="83" max="86" width="30.85546875" style="5" customWidth="1"/>
    <col min="87" max="91" width="24.28515625" style="5" customWidth="1"/>
    <col min="92" max="96" width="17" style="5" customWidth="1"/>
    <col min="97" max="97" width="24.5703125" style="5" customWidth="1"/>
    <col min="98" max="98" width="9.28515625" style="5" customWidth="1"/>
    <col min="99" max="99" width="7.140625" style="5" customWidth="1"/>
    <col min="100" max="100" width="33.28515625" style="5" customWidth="1"/>
    <col min="101" max="101" width="17.140625" style="5" customWidth="1"/>
    <col min="102" max="102" width="21.85546875" style="5" customWidth="1"/>
    <col min="103" max="103" width="12.7109375" style="5" customWidth="1"/>
    <col min="104" max="104" width="23.42578125" style="5" customWidth="1"/>
    <col min="105" max="105" width="33.28515625" style="5" customWidth="1"/>
    <col min="106" max="106" width="13.7109375" style="2" customWidth="1"/>
    <col min="107" max="107" width="12.42578125" style="2" customWidth="1"/>
    <col min="108" max="108" width="15" style="5" customWidth="1"/>
    <col min="109" max="109" width="37" style="5" customWidth="1"/>
    <col min="110" max="110" width="18.5703125" style="5" customWidth="1"/>
    <col min="111" max="111" width="14.7109375" style="5" customWidth="1"/>
    <col min="112" max="112" width="46.28515625" style="5" customWidth="1"/>
    <col min="113" max="113" width="42.7109375" style="2" customWidth="1"/>
    <col min="114" max="114" width="20.85546875" style="2" customWidth="1"/>
    <col min="115" max="115" width="10.5703125" style="5" customWidth="1"/>
    <col min="116" max="116" width="16.7109375" style="5" customWidth="1"/>
    <col min="117" max="117" width="16.140625" style="5" customWidth="1"/>
    <col min="118" max="118" width="15.85546875" style="5" customWidth="1"/>
    <col min="119" max="119" width="13.42578125" style="5" customWidth="1"/>
    <col min="120" max="120" width="22.28515625" style="5" customWidth="1"/>
    <col min="121" max="121" width="17.42578125" style="5" customWidth="1"/>
    <col min="122" max="122" width="16.28515625" style="5" customWidth="1"/>
    <col min="123" max="123" width="44.85546875" style="5" customWidth="1"/>
    <col min="124" max="124" width="8.42578125" style="5" customWidth="1"/>
    <col min="125" max="125" width="16.5703125" style="5" customWidth="1"/>
    <col min="126" max="126" width="27.5703125" style="5" customWidth="1"/>
    <col min="127" max="127" width="14.85546875" style="5" customWidth="1"/>
    <col min="128" max="128" width="29" style="5" customWidth="1"/>
    <col min="129" max="129" width="32.5703125" style="5" customWidth="1"/>
    <col min="130" max="130" width="26.28515625" style="5" customWidth="1"/>
    <col min="131" max="131" width="34.140625" style="5" customWidth="1"/>
    <col min="132" max="132" width="27" style="5" customWidth="1"/>
    <col min="133" max="133" width="27.5703125" style="5" customWidth="1"/>
    <col min="134" max="134" width="19.42578125" style="5" customWidth="1"/>
    <col min="135" max="135" width="19.140625" style="5" customWidth="1"/>
    <col min="136" max="136" width="31" style="5" customWidth="1"/>
    <col min="137" max="137" width="26.7109375" style="5" customWidth="1"/>
    <col min="138" max="138" width="15.85546875" style="5" customWidth="1"/>
    <col min="139" max="139" width="34.5703125" style="5" customWidth="1"/>
    <col min="140" max="140" width="19.28515625" style="5" customWidth="1"/>
    <col min="141" max="141" width="18.5703125" style="5" customWidth="1"/>
    <col min="142" max="142" width="27" style="5" customWidth="1"/>
    <col min="143" max="143" width="28.7109375" style="5" customWidth="1"/>
    <col min="144" max="144" width="29" style="5" customWidth="1"/>
    <col min="145" max="146" width="32.5703125" style="5" customWidth="1"/>
    <col min="147" max="148" width="30.140625" style="5" customWidth="1"/>
    <col min="149" max="150" width="40.85546875" style="1" customWidth="1"/>
    <col min="151" max="152" width="34.140625" style="5" customWidth="1"/>
    <col min="153" max="154" width="27.28515625" style="5" customWidth="1"/>
    <col min="155" max="155" width="80.5703125" style="39" customWidth="1"/>
    <col min="156" max="156" width="12.42578125" style="1" bestFit="1" customWidth="1"/>
    <col min="157" max="157" width="8.5703125" style="5" bestFit="1" customWidth="1"/>
    <col min="158" max="158" width="19.85546875" style="5" bestFit="1" customWidth="1"/>
    <col min="159" max="16384" width="42.140625" style="1"/>
  </cols>
  <sheetData>
    <row r="1" spans="1:158" s="8" customForma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1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3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3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3" t="s">
        <v>37</v>
      </c>
      <c r="AM1" s="13" t="s">
        <v>500</v>
      </c>
      <c r="AN1" s="13" t="s">
        <v>501</v>
      </c>
      <c r="AO1" s="13" t="s">
        <v>502</v>
      </c>
      <c r="AP1" s="10" t="s">
        <v>38</v>
      </c>
      <c r="AQ1" s="10" t="s">
        <v>39</v>
      </c>
      <c r="AR1" s="10" t="s">
        <v>40</v>
      </c>
      <c r="AS1" s="10" t="s">
        <v>41</v>
      </c>
      <c r="AT1" s="10" t="s">
        <v>42</v>
      </c>
      <c r="AU1" s="10" t="s">
        <v>43</v>
      </c>
      <c r="AV1" s="14" t="s">
        <v>44</v>
      </c>
      <c r="AW1" s="10" t="s">
        <v>45</v>
      </c>
      <c r="AX1" s="10" t="s">
        <v>46</v>
      </c>
      <c r="AY1" s="10" t="s">
        <v>47</v>
      </c>
      <c r="AZ1" s="10" t="s">
        <v>48</v>
      </c>
      <c r="BA1" s="10" t="s">
        <v>49</v>
      </c>
      <c r="BB1" s="10" t="s">
        <v>50</v>
      </c>
      <c r="BC1" s="10" t="s">
        <v>51</v>
      </c>
      <c r="BD1" s="10" t="s">
        <v>52</v>
      </c>
      <c r="BE1" s="10" t="s">
        <v>53</v>
      </c>
      <c r="BF1" s="10" t="s">
        <v>54</v>
      </c>
      <c r="BG1" s="10" t="s">
        <v>55</v>
      </c>
      <c r="BH1" s="10" t="s">
        <v>56</v>
      </c>
      <c r="BI1" s="10" t="s">
        <v>57</v>
      </c>
      <c r="BJ1" s="10" t="s">
        <v>58</v>
      </c>
      <c r="BK1" s="10" t="s">
        <v>59</v>
      </c>
      <c r="BL1" s="10" t="s">
        <v>60</v>
      </c>
      <c r="BM1" s="10" t="s">
        <v>61</v>
      </c>
      <c r="BN1" s="10" t="s">
        <v>62</v>
      </c>
      <c r="BO1" s="10" t="s">
        <v>63</v>
      </c>
      <c r="BP1" s="10" t="s">
        <v>64</v>
      </c>
      <c r="BQ1" s="10" t="s">
        <v>65</v>
      </c>
      <c r="BR1" s="10" t="s">
        <v>66</v>
      </c>
      <c r="BS1" s="10" t="s">
        <v>67</v>
      </c>
      <c r="BT1" s="10" t="s">
        <v>68</v>
      </c>
      <c r="BU1" s="10" t="s">
        <v>69</v>
      </c>
      <c r="BV1" s="10" t="s">
        <v>70</v>
      </c>
      <c r="BW1" s="10" t="s">
        <v>71</v>
      </c>
      <c r="BX1" s="10" t="s">
        <v>72</v>
      </c>
      <c r="BY1" s="10" t="s">
        <v>73</v>
      </c>
      <c r="BZ1" s="10" t="s">
        <v>74</v>
      </c>
      <c r="CA1" s="10" t="s">
        <v>75</v>
      </c>
      <c r="CB1" s="10" t="s">
        <v>76</v>
      </c>
      <c r="CC1" s="10" t="s">
        <v>77</v>
      </c>
      <c r="CD1" s="10" t="s">
        <v>78</v>
      </c>
      <c r="CE1" s="10" t="s">
        <v>79</v>
      </c>
      <c r="CF1" s="10" t="s">
        <v>80</v>
      </c>
      <c r="CG1" s="10" t="s">
        <v>81</v>
      </c>
      <c r="CH1" s="10" t="s">
        <v>82</v>
      </c>
      <c r="CI1" s="10" t="s">
        <v>83</v>
      </c>
      <c r="CJ1" s="10" t="s">
        <v>84</v>
      </c>
      <c r="CK1" s="10" t="s">
        <v>85</v>
      </c>
      <c r="CL1" s="10" t="s">
        <v>86</v>
      </c>
      <c r="CM1" s="10" t="s">
        <v>87</v>
      </c>
      <c r="CN1" s="10" t="s">
        <v>88</v>
      </c>
      <c r="CO1" s="10" t="s">
        <v>89</v>
      </c>
      <c r="CP1" s="10" t="s">
        <v>90</v>
      </c>
      <c r="CQ1" s="10" t="s">
        <v>91</v>
      </c>
      <c r="CR1" s="10" t="s">
        <v>92</v>
      </c>
      <c r="CS1" s="10" t="s">
        <v>93</v>
      </c>
      <c r="CT1" s="10" t="s">
        <v>94</v>
      </c>
      <c r="CU1" s="10" t="s">
        <v>95</v>
      </c>
      <c r="CV1" s="10" t="s">
        <v>96</v>
      </c>
      <c r="CW1" s="10" t="s">
        <v>97</v>
      </c>
      <c r="CX1" s="10" t="s">
        <v>98</v>
      </c>
      <c r="CY1" s="10" t="s">
        <v>99</v>
      </c>
      <c r="CZ1" s="10" t="s">
        <v>100</v>
      </c>
      <c r="DA1" s="10" t="s">
        <v>101</v>
      </c>
      <c r="DB1" s="10" t="s">
        <v>102</v>
      </c>
      <c r="DC1" s="10" t="s">
        <v>103</v>
      </c>
      <c r="DD1" s="10" t="s">
        <v>104</v>
      </c>
      <c r="DE1" s="10" t="s">
        <v>105</v>
      </c>
      <c r="DF1" s="10" t="s">
        <v>106</v>
      </c>
      <c r="DG1" s="10" t="s">
        <v>107</v>
      </c>
      <c r="DH1" s="10" t="s">
        <v>108</v>
      </c>
      <c r="DI1" s="10" t="s">
        <v>109</v>
      </c>
      <c r="DJ1" s="10" t="s">
        <v>110</v>
      </c>
      <c r="DK1" s="10" t="s">
        <v>111</v>
      </c>
      <c r="DL1" s="10" t="s">
        <v>112</v>
      </c>
      <c r="DM1" s="10" t="s">
        <v>113</v>
      </c>
      <c r="DN1" s="10" t="s">
        <v>114</v>
      </c>
      <c r="DO1" s="10" t="s">
        <v>115</v>
      </c>
      <c r="DP1" s="10" t="s">
        <v>116</v>
      </c>
      <c r="DQ1" s="10" t="s">
        <v>117</v>
      </c>
      <c r="DR1" s="10" t="s">
        <v>118</v>
      </c>
      <c r="DS1" s="10" t="s">
        <v>119</v>
      </c>
      <c r="DT1" s="10" t="s">
        <v>120</v>
      </c>
      <c r="DU1" s="10" t="s">
        <v>121</v>
      </c>
      <c r="DV1" s="10" t="s">
        <v>122</v>
      </c>
      <c r="DW1" s="10" t="s">
        <v>123</v>
      </c>
      <c r="DX1" s="10" t="s">
        <v>124</v>
      </c>
      <c r="DY1" s="10" t="s">
        <v>125</v>
      </c>
      <c r="DZ1" s="10" t="s">
        <v>126</v>
      </c>
      <c r="EA1" s="10" t="s">
        <v>127</v>
      </c>
      <c r="EB1" s="10" t="s">
        <v>128</v>
      </c>
      <c r="EC1" s="10" t="s">
        <v>129</v>
      </c>
      <c r="ED1" s="10" t="s">
        <v>130</v>
      </c>
      <c r="EE1" s="10" t="s">
        <v>131</v>
      </c>
      <c r="EF1" s="10" t="s">
        <v>132</v>
      </c>
      <c r="EG1" s="10" t="s">
        <v>133</v>
      </c>
      <c r="EH1" s="10" t="s">
        <v>134</v>
      </c>
      <c r="EI1" s="10" t="s">
        <v>135</v>
      </c>
      <c r="EJ1" s="10" t="s">
        <v>136</v>
      </c>
      <c r="EK1" s="10" t="s">
        <v>137</v>
      </c>
      <c r="EL1" s="10" t="s">
        <v>138</v>
      </c>
      <c r="EM1" s="10" t="s">
        <v>139</v>
      </c>
      <c r="EN1" s="10" t="s">
        <v>140</v>
      </c>
      <c r="EO1" s="10" t="s">
        <v>141</v>
      </c>
      <c r="EP1" s="10" t="s">
        <v>142</v>
      </c>
      <c r="EQ1" s="10" t="s">
        <v>143</v>
      </c>
      <c r="ER1" s="10" t="s">
        <v>144</v>
      </c>
      <c r="ES1" s="10" t="s">
        <v>145</v>
      </c>
      <c r="ET1" s="10" t="s">
        <v>146</v>
      </c>
      <c r="EU1" s="10" t="s">
        <v>147</v>
      </c>
      <c r="EV1" s="10" t="s">
        <v>148</v>
      </c>
      <c r="EW1" s="10" t="s">
        <v>149</v>
      </c>
      <c r="EX1" s="10" t="s">
        <v>150</v>
      </c>
      <c r="EY1" s="10" t="s">
        <v>151</v>
      </c>
      <c r="EZ1" s="10" t="s">
        <v>152</v>
      </c>
      <c r="FA1" s="10" t="s">
        <v>153</v>
      </c>
      <c r="FB1" s="15" t="s">
        <v>154</v>
      </c>
    </row>
    <row r="2" spans="1:158" x14ac:dyDescent="0.2">
      <c r="A2" s="16" t="s">
        <v>157</v>
      </c>
      <c r="B2" s="17" t="s">
        <v>523</v>
      </c>
      <c r="C2" s="17" t="s">
        <v>517</v>
      </c>
      <c r="D2" s="18" t="s">
        <v>518</v>
      </c>
      <c r="E2" s="38"/>
      <c r="F2" s="17"/>
      <c r="G2" s="17"/>
      <c r="H2" s="17"/>
      <c r="I2" s="17"/>
      <c r="J2" s="17"/>
      <c r="K2" s="17" t="s">
        <v>519</v>
      </c>
      <c r="L2" s="19">
        <v>45565.71597222222</v>
      </c>
      <c r="M2" s="17"/>
      <c r="N2" s="17"/>
      <c r="O2" s="17" t="s">
        <v>157</v>
      </c>
      <c r="P2" s="18" t="s">
        <v>520</v>
      </c>
      <c r="Q2" s="17" t="s">
        <v>157</v>
      </c>
      <c r="R2" s="20"/>
      <c r="S2" s="17"/>
      <c r="T2" s="21"/>
      <c r="U2" s="17"/>
      <c r="V2" s="21"/>
      <c r="W2" s="17"/>
      <c r="X2" s="22"/>
      <c r="Y2" s="17" t="s">
        <v>160</v>
      </c>
      <c r="Z2" s="17" t="s">
        <v>157</v>
      </c>
      <c r="AA2" s="27" t="s">
        <v>582</v>
      </c>
      <c r="AB2" s="27" t="s">
        <v>582</v>
      </c>
      <c r="AC2" s="17" t="s">
        <v>156</v>
      </c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17"/>
      <c r="AP2" s="17" t="s">
        <v>157</v>
      </c>
      <c r="AQ2" s="17" t="s">
        <v>157</v>
      </c>
      <c r="AR2" s="17" t="s">
        <v>156</v>
      </c>
      <c r="AS2" s="17"/>
      <c r="AT2" s="17"/>
      <c r="AU2" s="17" t="s">
        <v>171</v>
      </c>
      <c r="AV2" s="24">
        <v>46358536</v>
      </c>
      <c r="AW2" s="17"/>
      <c r="AX2" s="17" t="s">
        <v>524</v>
      </c>
      <c r="AY2" s="17"/>
      <c r="AZ2" s="17" t="s">
        <v>525</v>
      </c>
      <c r="BA2" s="17"/>
      <c r="BB2" s="17"/>
      <c r="BC2" s="17"/>
      <c r="BD2" s="17"/>
      <c r="BE2" s="17"/>
      <c r="BF2" s="17"/>
      <c r="BG2" s="21"/>
      <c r="BH2" s="17"/>
      <c r="BI2" s="17"/>
      <c r="BJ2" s="17" t="s">
        <v>215</v>
      </c>
      <c r="BK2" s="17"/>
      <c r="BL2" s="17"/>
      <c r="BM2" s="17"/>
      <c r="BN2" s="17"/>
      <c r="BO2" s="17" t="s">
        <v>526</v>
      </c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 t="s">
        <v>527</v>
      </c>
      <c r="CE2" s="17"/>
      <c r="CF2" s="17"/>
      <c r="CG2" s="17"/>
      <c r="CH2" s="17"/>
      <c r="CI2" s="17" t="s">
        <v>222</v>
      </c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8"/>
      <c r="CW2" s="17"/>
      <c r="CX2" s="17"/>
      <c r="CY2" s="17"/>
      <c r="CZ2" s="17"/>
      <c r="DA2" s="18"/>
      <c r="DB2" s="21"/>
      <c r="DC2" s="21"/>
      <c r="DD2" s="17"/>
      <c r="DE2" s="17" t="s">
        <v>521</v>
      </c>
      <c r="DF2" s="17"/>
      <c r="DG2" s="17"/>
      <c r="DH2" s="17" t="s">
        <v>522</v>
      </c>
      <c r="DI2" s="21"/>
      <c r="DJ2" s="21"/>
      <c r="DK2" s="17"/>
      <c r="DL2" s="17"/>
      <c r="DM2" s="17"/>
      <c r="DN2" s="17"/>
      <c r="DO2" s="17"/>
      <c r="DP2" s="17"/>
      <c r="DQ2" s="17"/>
      <c r="DR2" s="17"/>
      <c r="DS2" s="17" t="s">
        <v>160</v>
      </c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  <c r="EO2" s="17"/>
      <c r="EP2" s="17"/>
      <c r="EQ2" s="17"/>
      <c r="ER2" s="17"/>
      <c r="ES2" s="25"/>
      <c r="ET2" s="25"/>
      <c r="EU2" s="17"/>
      <c r="EV2" s="17"/>
      <c r="EW2" s="17"/>
      <c r="EX2" s="17"/>
      <c r="EY2" s="38" t="s">
        <v>528</v>
      </c>
      <c r="EZ2" s="25"/>
      <c r="FA2" s="17" t="s">
        <v>498</v>
      </c>
      <c r="FB2" s="26" t="s">
        <v>498</v>
      </c>
    </row>
    <row r="3" spans="1:158" ht="15.75" customHeight="1" x14ac:dyDescent="0.2">
      <c r="A3" s="28" t="s">
        <v>157</v>
      </c>
      <c r="B3" s="29" t="s">
        <v>523</v>
      </c>
      <c r="C3" s="29" t="s">
        <v>517</v>
      </c>
      <c r="D3" s="29" t="s">
        <v>518</v>
      </c>
      <c r="E3" s="38"/>
      <c r="F3" s="29"/>
      <c r="G3" s="29"/>
      <c r="H3" s="29"/>
      <c r="I3" s="29"/>
      <c r="J3" s="29"/>
      <c r="K3" s="29" t="s">
        <v>519</v>
      </c>
      <c r="L3" s="30">
        <v>45565.821527777778</v>
      </c>
      <c r="M3" s="29"/>
      <c r="N3" s="29"/>
      <c r="O3" s="29" t="s">
        <v>157</v>
      </c>
      <c r="P3" s="29" t="s">
        <v>520</v>
      </c>
      <c r="Q3" s="29" t="s">
        <v>157</v>
      </c>
      <c r="R3" s="31"/>
      <c r="S3" s="29"/>
      <c r="T3" s="32"/>
      <c r="U3" s="29"/>
      <c r="V3" s="32"/>
      <c r="W3" s="29"/>
      <c r="X3" s="33"/>
      <c r="Y3" s="29" t="s">
        <v>160</v>
      </c>
      <c r="Z3" s="29" t="s">
        <v>157</v>
      </c>
      <c r="AA3" s="29" t="s">
        <v>582</v>
      </c>
      <c r="AB3" s="29" t="s">
        <v>582</v>
      </c>
      <c r="AC3" s="29" t="s">
        <v>156</v>
      </c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29"/>
      <c r="AP3" s="29" t="s">
        <v>157</v>
      </c>
      <c r="AQ3" s="29" t="s">
        <v>157</v>
      </c>
      <c r="AR3" s="29" t="s">
        <v>156</v>
      </c>
      <c r="AS3" s="29"/>
      <c r="AT3" s="29"/>
      <c r="AU3" s="29" t="s">
        <v>171</v>
      </c>
      <c r="AV3" s="35">
        <v>22271852</v>
      </c>
      <c r="AW3" s="29"/>
      <c r="AX3" s="29" t="s">
        <v>531</v>
      </c>
      <c r="AY3" s="29"/>
      <c r="AZ3" s="29" t="s">
        <v>532</v>
      </c>
      <c r="BA3" s="29"/>
      <c r="BB3" s="29"/>
      <c r="BC3" s="29"/>
      <c r="BD3" s="29"/>
      <c r="BE3" s="29"/>
      <c r="BF3" s="29"/>
      <c r="BG3" s="32"/>
      <c r="BH3" s="29"/>
      <c r="BI3" s="29"/>
      <c r="BJ3" s="29" t="s">
        <v>215</v>
      </c>
      <c r="BK3" s="29"/>
      <c r="BL3" s="29"/>
      <c r="BM3" s="29"/>
      <c r="BN3" s="29"/>
      <c r="BO3" s="29" t="s">
        <v>533</v>
      </c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 t="s">
        <v>534</v>
      </c>
      <c r="CE3" s="29"/>
      <c r="CF3" s="29"/>
      <c r="CG3" s="29"/>
      <c r="CH3" s="29"/>
      <c r="CI3" s="29" t="s">
        <v>222</v>
      </c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32"/>
      <c r="DC3" s="32"/>
      <c r="DD3" s="29"/>
      <c r="DE3" s="29" t="s">
        <v>529</v>
      </c>
      <c r="DF3" s="29"/>
      <c r="DG3" s="29"/>
      <c r="DH3" s="29" t="s">
        <v>530</v>
      </c>
      <c r="DI3" s="32"/>
      <c r="DJ3" s="32"/>
      <c r="DK3" s="29"/>
      <c r="DL3" s="29"/>
      <c r="DM3" s="29"/>
      <c r="DN3" s="29"/>
      <c r="DO3" s="29"/>
      <c r="DP3" s="29"/>
      <c r="DQ3" s="29"/>
      <c r="DR3" s="29"/>
      <c r="DS3" s="29" t="s">
        <v>160</v>
      </c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36"/>
      <c r="ET3" s="36"/>
      <c r="EU3" s="29"/>
      <c r="EV3" s="29"/>
      <c r="EW3" s="29"/>
      <c r="EX3" s="29"/>
      <c r="EY3" s="38" t="s">
        <v>528</v>
      </c>
      <c r="EZ3" s="36"/>
      <c r="FA3" s="29" t="s">
        <v>498</v>
      </c>
      <c r="FB3" s="37" t="s">
        <v>498</v>
      </c>
    </row>
    <row r="4" spans="1:158" x14ac:dyDescent="0.2">
      <c r="A4" s="28" t="s">
        <v>157</v>
      </c>
      <c r="B4" s="29" t="s">
        <v>523</v>
      </c>
      <c r="C4" s="29" t="s">
        <v>517</v>
      </c>
      <c r="D4" s="29" t="s">
        <v>518</v>
      </c>
      <c r="E4" s="38"/>
      <c r="F4" s="29"/>
      <c r="G4" s="29"/>
      <c r="H4" s="29"/>
      <c r="I4" s="29"/>
      <c r="J4" s="29"/>
      <c r="K4" s="29" t="s">
        <v>519</v>
      </c>
      <c r="L4" s="30">
        <v>45566.601388888892</v>
      </c>
      <c r="M4" s="29"/>
      <c r="N4" s="29"/>
      <c r="O4" s="29" t="s">
        <v>157</v>
      </c>
      <c r="P4" s="29" t="s">
        <v>520</v>
      </c>
      <c r="Q4" s="29" t="s">
        <v>157</v>
      </c>
      <c r="R4" s="31"/>
      <c r="S4" s="29"/>
      <c r="T4" s="32"/>
      <c r="U4" s="29"/>
      <c r="V4" s="32"/>
      <c r="W4" s="29"/>
      <c r="X4" s="33"/>
      <c r="Y4" s="29" t="s">
        <v>160</v>
      </c>
      <c r="Z4" s="29" t="s">
        <v>157</v>
      </c>
      <c r="AA4" s="29" t="s">
        <v>582</v>
      </c>
      <c r="AB4" s="29" t="s">
        <v>582</v>
      </c>
      <c r="AC4" s="29" t="s">
        <v>156</v>
      </c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29"/>
      <c r="AP4" s="29" t="s">
        <v>157</v>
      </c>
      <c r="AQ4" s="29" t="s">
        <v>157</v>
      </c>
      <c r="AR4" s="29" t="s">
        <v>156</v>
      </c>
      <c r="AS4" s="29"/>
      <c r="AT4" s="29"/>
      <c r="AU4" s="29" t="s">
        <v>171</v>
      </c>
      <c r="AV4" s="35">
        <v>72848078</v>
      </c>
      <c r="AW4" s="29"/>
      <c r="AX4" s="29" t="s">
        <v>537</v>
      </c>
      <c r="AY4" s="29"/>
      <c r="AZ4" s="29" t="s">
        <v>538</v>
      </c>
      <c r="BA4" s="29"/>
      <c r="BB4" s="29"/>
      <c r="BC4" s="29"/>
      <c r="BD4" s="29"/>
      <c r="BE4" s="29"/>
      <c r="BF4" s="29"/>
      <c r="BG4" s="32"/>
      <c r="BH4" s="29"/>
      <c r="BI4" s="29"/>
      <c r="BJ4" s="29" t="s">
        <v>215</v>
      </c>
      <c r="BK4" s="29"/>
      <c r="BL4" s="29"/>
      <c r="BM4" s="29"/>
      <c r="BN4" s="29"/>
      <c r="BO4" s="29" t="s">
        <v>539</v>
      </c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 t="s">
        <v>540</v>
      </c>
      <c r="CE4" s="29"/>
      <c r="CF4" s="29"/>
      <c r="CG4" s="29"/>
      <c r="CH4" s="29"/>
      <c r="CI4" s="29" t="s">
        <v>222</v>
      </c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32"/>
      <c r="DC4" s="32"/>
      <c r="DD4" s="29"/>
      <c r="DE4" s="29" t="s">
        <v>535</v>
      </c>
      <c r="DF4" s="29"/>
      <c r="DG4" s="29"/>
      <c r="DH4" s="29" t="s">
        <v>536</v>
      </c>
      <c r="DI4" s="32"/>
      <c r="DJ4" s="32"/>
      <c r="DK4" s="29"/>
      <c r="DL4" s="29"/>
      <c r="DM4" s="29"/>
      <c r="DN4" s="29"/>
      <c r="DO4" s="29"/>
      <c r="DP4" s="29"/>
      <c r="DQ4" s="29"/>
      <c r="DR4" s="29"/>
      <c r="DS4" s="29" t="s">
        <v>160</v>
      </c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36"/>
      <c r="ET4" s="36"/>
      <c r="EU4" s="29"/>
      <c r="EV4" s="29"/>
      <c r="EW4" s="29"/>
      <c r="EX4" s="29"/>
      <c r="EY4" s="38" t="s">
        <v>528</v>
      </c>
      <c r="EZ4" s="36"/>
      <c r="FA4" s="29" t="s">
        <v>498</v>
      </c>
      <c r="FB4" s="37" t="s">
        <v>498</v>
      </c>
    </row>
    <row r="5" spans="1:158" x14ac:dyDescent="0.2">
      <c r="A5" s="28" t="s">
        <v>157</v>
      </c>
      <c r="B5" s="29" t="s">
        <v>523</v>
      </c>
      <c r="C5" s="29" t="s">
        <v>517</v>
      </c>
      <c r="D5" s="29" t="s">
        <v>518</v>
      </c>
      <c r="E5" s="38"/>
      <c r="F5" s="29"/>
      <c r="G5" s="29"/>
      <c r="H5" s="29"/>
      <c r="I5" s="29"/>
      <c r="J5" s="29"/>
      <c r="K5" s="29" t="s">
        <v>519</v>
      </c>
      <c r="L5" s="30">
        <v>45566.868055555555</v>
      </c>
      <c r="M5" s="29"/>
      <c r="N5" s="29"/>
      <c r="O5" s="29" t="s">
        <v>157</v>
      </c>
      <c r="P5" s="29" t="s">
        <v>520</v>
      </c>
      <c r="Q5" s="29" t="s">
        <v>157</v>
      </c>
      <c r="R5" s="31"/>
      <c r="S5" s="29"/>
      <c r="T5" s="32"/>
      <c r="U5" s="29"/>
      <c r="V5" s="32"/>
      <c r="W5" s="29"/>
      <c r="X5" s="33"/>
      <c r="Y5" s="29" t="s">
        <v>160</v>
      </c>
      <c r="Z5" s="29" t="s">
        <v>157</v>
      </c>
      <c r="AA5" s="29" t="s">
        <v>582</v>
      </c>
      <c r="AB5" s="29" t="s">
        <v>582</v>
      </c>
      <c r="AC5" s="29" t="s">
        <v>156</v>
      </c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29"/>
      <c r="AP5" s="29" t="s">
        <v>157</v>
      </c>
      <c r="AQ5" s="29" t="s">
        <v>157</v>
      </c>
      <c r="AR5" s="29" t="s">
        <v>156</v>
      </c>
      <c r="AS5" s="29"/>
      <c r="AT5" s="29"/>
      <c r="AU5" s="29" t="s">
        <v>171</v>
      </c>
      <c r="AV5" s="35">
        <v>10643123</v>
      </c>
      <c r="AW5" s="29"/>
      <c r="AX5" s="29" t="s">
        <v>543</v>
      </c>
      <c r="AY5" s="29"/>
      <c r="AZ5" s="29" t="s">
        <v>544</v>
      </c>
      <c r="BA5" s="29"/>
      <c r="BB5" s="29"/>
      <c r="BC5" s="29"/>
      <c r="BD5" s="29"/>
      <c r="BE5" s="29"/>
      <c r="BF5" s="29"/>
      <c r="BG5" s="32"/>
      <c r="BH5" s="29"/>
      <c r="BI5" s="29"/>
      <c r="BJ5" s="29" t="s">
        <v>215</v>
      </c>
      <c r="BK5" s="29"/>
      <c r="BL5" s="29"/>
      <c r="BM5" s="29"/>
      <c r="BN5" s="29"/>
      <c r="BO5" s="29" t="s">
        <v>545</v>
      </c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 t="s">
        <v>546</v>
      </c>
      <c r="CE5" s="29"/>
      <c r="CF5" s="29"/>
      <c r="CG5" s="29"/>
      <c r="CH5" s="29"/>
      <c r="CI5" s="29" t="s">
        <v>222</v>
      </c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32"/>
      <c r="DC5" s="32"/>
      <c r="DD5" s="29"/>
      <c r="DE5" s="29" t="s">
        <v>541</v>
      </c>
      <c r="DF5" s="29"/>
      <c r="DG5" s="29"/>
      <c r="DH5" s="29" t="s">
        <v>542</v>
      </c>
      <c r="DI5" s="32"/>
      <c r="DJ5" s="32"/>
      <c r="DK5" s="29"/>
      <c r="DL5" s="29"/>
      <c r="DM5" s="29"/>
      <c r="DN5" s="29"/>
      <c r="DO5" s="29"/>
      <c r="DP5" s="29"/>
      <c r="DQ5" s="29"/>
      <c r="DR5" s="29"/>
      <c r="DS5" s="29" t="s">
        <v>160</v>
      </c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36"/>
      <c r="ET5" s="36"/>
      <c r="EU5" s="29"/>
      <c r="EV5" s="29"/>
      <c r="EW5" s="29"/>
      <c r="EX5" s="29"/>
      <c r="EY5" s="38" t="s">
        <v>528</v>
      </c>
      <c r="EZ5" s="36"/>
      <c r="FA5" s="29" t="s">
        <v>498</v>
      </c>
      <c r="FB5" s="37" t="s">
        <v>498</v>
      </c>
    </row>
    <row r="6" spans="1:158" x14ac:dyDescent="0.2">
      <c r="A6" s="28" t="s">
        <v>157</v>
      </c>
      <c r="B6" s="29" t="s">
        <v>523</v>
      </c>
      <c r="C6" s="29" t="s">
        <v>517</v>
      </c>
      <c r="D6" s="29" t="s">
        <v>518</v>
      </c>
      <c r="E6" s="38"/>
      <c r="F6" s="29"/>
      <c r="G6" s="29"/>
      <c r="H6" s="29"/>
      <c r="I6" s="29"/>
      <c r="J6" s="29"/>
      <c r="K6" s="29" t="s">
        <v>519</v>
      </c>
      <c r="L6" s="30">
        <v>45568.794444444444</v>
      </c>
      <c r="M6" s="29"/>
      <c r="N6" s="29"/>
      <c r="O6" s="29" t="s">
        <v>157</v>
      </c>
      <c r="P6" s="29" t="s">
        <v>520</v>
      </c>
      <c r="Q6" s="29" t="s">
        <v>157</v>
      </c>
      <c r="R6" s="31"/>
      <c r="S6" s="29"/>
      <c r="T6" s="32"/>
      <c r="U6" s="29"/>
      <c r="V6" s="32"/>
      <c r="W6" s="29"/>
      <c r="X6" s="33"/>
      <c r="Y6" s="29" t="s">
        <v>160</v>
      </c>
      <c r="Z6" s="29" t="s">
        <v>157</v>
      </c>
      <c r="AA6" s="29" t="s">
        <v>582</v>
      </c>
      <c r="AB6" s="29" t="s">
        <v>582</v>
      </c>
      <c r="AC6" s="29" t="s">
        <v>156</v>
      </c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29"/>
      <c r="AP6" s="29" t="s">
        <v>157</v>
      </c>
      <c r="AQ6" s="29" t="s">
        <v>157</v>
      </c>
      <c r="AR6" s="29" t="s">
        <v>156</v>
      </c>
      <c r="AS6" s="29"/>
      <c r="AT6" s="29"/>
      <c r="AU6" s="29" t="s">
        <v>171</v>
      </c>
      <c r="AV6" s="35">
        <v>7877364</v>
      </c>
      <c r="AW6" s="29"/>
      <c r="AX6" s="29" t="s">
        <v>549</v>
      </c>
      <c r="AY6" s="29"/>
      <c r="AZ6" s="29" t="s">
        <v>550</v>
      </c>
      <c r="BA6" s="29"/>
      <c r="BB6" s="29"/>
      <c r="BC6" s="29"/>
      <c r="BD6" s="29"/>
      <c r="BE6" s="29"/>
      <c r="BF6" s="29"/>
      <c r="BG6" s="32"/>
      <c r="BH6" s="29"/>
      <c r="BI6" s="29"/>
      <c r="BJ6" s="29" t="s">
        <v>215</v>
      </c>
      <c r="BK6" s="29"/>
      <c r="BL6" s="29"/>
      <c r="BM6" s="29"/>
      <c r="BN6" s="29"/>
      <c r="BO6" s="29" t="s">
        <v>551</v>
      </c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 t="s">
        <v>552</v>
      </c>
      <c r="CE6" s="29"/>
      <c r="CF6" s="29"/>
      <c r="CG6" s="29"/>
      <c r="CH6" s="29"/>
      <c r="CI6" s="29" t="s">
        <v>222</v>
      </c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32"/>
      <c r="DC6" s="32"/>
      <c r="DD6" s="29"/>
      <c r="DE6" s="29" t="s">
        <v>547</v>
      </c>
      <c r="DF6" s="29"/>
      <c r="DG6" s="29"/>
      <c r="DH6" s="29" t="s">
        <v>548</v>
      </c>
      <c r="DI6" s="32"/>
      <c r="DJ6" s="32"/>
      <c r="DK6" s="29"/>
      <c r="DL6" s="29"/>
      <c r="DM6" s="29"/>
      <c r="DN6" s="29"/>
      <c r="DO6" s="29"/>
      <c r="DP6" s="29"/>
      <c r="DQ6" s="29"/>
      <c r="DR6" s="29"/>
      <c r="DS6" s="29" t="s">
        <v>160</v>
      </c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36"/>
      <c r="ET6" s="36"/>
      <c r="EU6" s="29"/>
      <c r="EV6" s="29"/>
      <c r="EW6" s="29"/>
      <c r="EX6" s="29"/>
      <c r="EY6" s="38" t="s">
        <v>528</v>
      </c>
      <c r="EZ6" s="36"/>
      <c r="FA6" s="29" t="s">
        <v>498</v>
      </c>
      <c r="FB6" s="37" t="s">
        <v>498</v>
      </c>
    </row>
    <row r="7" spans="1:158" x14ac:dyDescent="0.2">
      <c r="A7" s="28" t="s">
        <v>157</v>
      </c>
      <c r="B7" s="29" t="s">
        <v>523</v>
      </c>
      <c r="C7" s="29" t="s">
        <v>517</v>
      </c>
      <c r="D7" s="29" t="s">
        <v>518</v>
      </c>
      <c r="E7" s="38"/>
      <c r="F7" s="29"/>
      <c r="G7" s="29"/>
      <c r="H7" s="29"/>
      <c r="I7" s="29"/>
      <c r="J7" s="29"/>
      <c r="K7" s="29" t="s">
        <v>519</v>
      </c>
      <c r="L7" s="30">
        <v>45569.824305555558</v>
      </c>
      <c r="M7" s="29"/>
      <c r="N7" s="29"/>
      <c r="O7" s="29" t="s">
        <v>157</v>
      </c>
      <c r="P7" s="29" t="s">
        <v>520</v>
      </c>
      <c r="Q7" s="29" t="s">
        <v>157</v>
      </c>
      <c r="R7" s="31"/>
      <c r="S7" s="29"/>
      <c r="T7" s="32"/>
      <c r="U7" s="29"/>
      <c r="V7" s="32"/>
      <c r="W7" s="29"/>
      <c r="X7" s="33"/>
      <c r="Y7" s="29" t="s">
        <v>160</v>
      </c>
      <c r="Z7" s="29" t="s">
        <v>157</v>
      </c>
      <c r="AA7" s="29" t="s">
        <v>582</v>
      </c>
      <c r="AB7" s="29" t="s">
        <v>582</v>
      </c>
      <c r="AC7" s="29" t="s">
        <v>156</v>
      </c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29"/>
      <c r="AP7" s="29" t="s">
        <v>157</v>
      </c>
      <c r="AQ7" s="29" t="s">
        <v>157</v>
      </c>
      <c r="AR7" s="29" t="s">
        <v>156</v>
      </c>
      <c r="AS7" s="29"/>
      <c r="AT7" s="29"/>
      <c r="AU7" s="29" t="s">
        <v>171</v>
      </c>
      <c r="AV7" s="35">
        <v>74074872</v>
      </c>
      <c r="AW7" s="29"/>
      <c r="AX7" s="29" t="s">
        <v>554</v>
      </c>
      <c r="AY7" s="29"/>
      <c r="AZ7" s="29" t="s">
        <v>555</v>
      </c>
      <c r="BA7" s="29"/>
      <c r="BB7" s="29"/>
      <c r="BC7" s="29"/>
      <c r="BD7" s="29"/>
      <c r="BE7" s="29"/>
      <c r="BF7" s="29"/>
      <c r="BG7" s="32"/>
      <c r="BH7" s="29"/>
      <c r="BI7" s="29"/>
      <c r="BJ7" s="29" t="s">
        <v>215</v>
      </c>
      <c r="BK7" s="29"/>
      <c r="BL7" s="29"/>
      <c r="BM7" s="29"/>
      <c r="BN7" s="29"/>
      <c r="BO7" s="29" t="s">
        <v>556</v>
      </c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 t="s">
        <v>557</v>
      </c>
      <c r="CE7" s="29"/>
      <c r="CF7" s="29"/>
      <c r="CG7" s="29"/>
      <c r="CH7" s="29"/>
      <c r="CI7" s="29" t="s">
        <v>222</v>
      </c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32"/>
      <c r="DC7" s="32"/>
      <c r="DD7" s="29"/>
      <c r="DE7" s="29" t="s">
        <v>553</v>
      </c>
      <c r="DF7" s="29"/>
      <c r="DG7" s="29"/>
      <c r="DH7" s="29" t="s">
        <v>262</v>
      </c>
      <c r="DI7" s="32"/>
      <c r="DJ7" s="32"/>
      <c r="DK7" s="29"/>
      <c r="DL7" s="29"/>
      <c r="DM7" s="29"/>
      <c r="DN7" s="29"/>
      <c r="DO7" s="29"/>
      <c r="DP7" s="29"/>
      <c r="DQ7" s="29"/>
      <c r="DR7" s="29"/>
      <c r="DS7" s="29" t="s">
        <v>160</v>
      </c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36"/>
      <c r="ET7" s="36"/>
      <c r="EU7" s="29"/>
      <c r="EV7" s="29"/>
      <c r="EW7" s="29"/>
      <c r="EX7" s="29"/>
      <c r="EY7" s="38" t="s">
        <v>528</v>
      </c>
      <c r="EZ7" s="36"/>
      <c r="FA7" s="29" t="s">
        <v>498</v>
      </c>
      <c r="FB7" s="37" t="s">
        <v>498</v>
      </c>
    </row>
    <row r="8" spans="1:158" x14ac:dyDescent="0.2">
      <c r="A8" s="28" t="s">
        <v>157</v>
      </c>
      <c r="B8" s="29" t="s">
        <v>523</v>
      </c>
      <c r="C8" s="29" t="s">
        <v>517</v>
      </c>
      <c r="D8" s="29" t="s">
        <v>518</v>
      </c>
      <c r="E8" s="38"/>
      <c r="F8" s="29"/>
      <c r="G8" s="29"/>
      <c r="H8" s="29"/>
      <c r="I8" s="29"/>
      <c r="J8" s="29"/>
      <c r="K8" s="29" t="s">
        <v>519</v>
      </c>
      <c r="L8" s="30">
        <v>45569.925000000003</v>
      </c>
      <c r="M8" s="29"/>
      <c r="N8" s="29"/>
      <c r="O8" s="29" t="s">
        <v>157</v>
      </c>
      <c r="P8" s="29" t="s">
        <v>520</v>
      </c>
      <c r="Q8" s="29" t="s">
        <v>157</v>
      </c>
      <c r="R8" s="31"/>
      <c r="S8" s="29"/>
      <c r="T8" s="32"/>
      <c r="U8" s="29"/>
      <c r="V8" s="32"/>
      <c r="W8" s="29"/>
      <c r="X8" s="33"/>
      <c r="Y8" s="29" t="s">
        <v>160</v>
      </c>
      <c r="Z8" s="29" t="s">
        <v>157</v>
      </c>
      <c r="AA8" s="29" t="s">
        <v>582</v>
      </c>
      <c r="AB8" s="29" t="s">
        <v>582</v>
      </c>
      <c r="AC8" s="29" t="s">
        <v>156</v>
      </c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29"/>
      <c r="AP8" s="29" t="s">
        <v>157</v>
      </c>
      <c r="AQ8" s="29" t="s">
        <v>157</v>
      </c>
      <c r="AR8" s="29" t="s">
        <v>157</v>
      </c>
      <c r="AS8" s="29"/>
      <c r="AT8" s="29"/>
      <c r="AU8" s="29" t="s">
        <v>171</v>
      </c>
      <c r="AV8" s="35">
        <v>40060585</v>
      </c>
      <c r="AW8" s="29"/>
      <c r="AX8" s="29" t="s">
        <v>560</v>
      </c>
      <c r="AY8" s="29"/>
      <c r="AZ8" s="29" t="s">
        <v>561</v>
      </c>
      <c r="BA8" s="29"/>
      <c r="BB8" s="29"/>
      <c r="BC8" s="29"/>
      <c r="BD8" s="29"/>
      <c r="BE8" s="29"/>
      <c r="BF8" s="29"/>
      <c r="BG8" s="32"/>
      <c r="BH8" s="29"/>
      <c r="BI8" s="29"/>
      <c r="BJ8" s="29" t="s">
        <v>215</v>
      </c>
      <c r="BK8" s="29"/>
      <c r="BL8" s="29"/>
      <c r="BM8" s="29"/>
      <c r="BN8" s="29"/>
      <c r="BO8" s="29" t="s">
        <v>562</v>
      </c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 t="s">
        <v>563</v>
      </c>
      <c r="CE8" s="29"/>
      <c r="CF8" s="29"/>
      <c r="CG8" s="29"/>
      <c r="CH8" s="29"/>
      <c r="CI8" s="29" t="s">
        <v>222</v>
      </c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32"/>
      <c r="DC8" s="32"/>
      <c r="DD8" s="29"/>
      <c r="DE8" s="29" t="s">
        <v>558</v>
      </c>
      <c r="DF8" s="29"/>
      <c r="DG8" s="29"/>
      <c r="DH8" s="29" t="s">
        <v>559</v>
      </c>
      <c r="DI8" s="32"/>
      <c r="DJ8" s="32"/>
      <c r="DK8" s="29"/>
      <c r="DL8" s="29"/>
      <c r="DM8" s="29"/>
      <c r="DN8" s="29"/>
      <c r="DO8" s="29"/>
      <c r="DP8" s="29"/>
      <c r="DQ8" s="29"/>
      <c r="DR8" s="29"/>
      <c r="DS8" s="29" t="s">
        <v>160</v>
      </c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36"/>
      <c r="ET8" s="36"/>
      <c r="EU8" s="29"/>
      <c r="EV8" s="29"/>
      <c r="EW8" s="29"/>
      <c r="EX8" s="29"/>
      <c r="EY8" s="38" t="s">
        <v>528</v>
      </c>
      <c r="EZ8" s="36"/>
      <c r="FA8" s="29" t="s">
        <v>498</v>
      </c>
      <c r="FB8" s="37" t="s">
        <v>498</v>
      </c>
    </row>
    <row r="9" spans="1:158" x14ac:dyDescent="0.2">
      <c r="A9" s="28" t="s">
        <v>157</v>
      </c>
      <c r="B9" s="29" t="s">
        <v>523</v>
      </c>
      <c r="C9" s="29" t="s">
        <v>517</v>
      </c>
      <c r="D9" s="29" t="s">
        <v>518</v>
      </c>
      <c r="E9" s="38"/>
      <c r="F9" s="29"/>
      <c r="G9" s="29"/>
      <c r="H9" s="29"/>
      <c r="I9" s="29"/>
      <c r="J9" s="29"/>
      <c r="K9" s="29" t="s">
        <v>519</v>
      </c>
      <c r="L9" s="30">
        <v>45569.931250000001</v>
      </c>
      <c r="M9" s="29"/>
      <c r="N9" s="29"/>
      <c r="O9" s="29" t="s">
        <v>157</v>
      </c>
      <c r="P9" s="29" t="s">
        <v>520</v>
      </c>
      <c r="Q9" s="29" t="s">
        <v>157</v>
      </c>
      <c r="R9" s="31"/>
      <c r="S9" s="29"/>
      <c r="T9" s="32"/>
      <c r="U9" s="29"/>
      <c r="V9" s="32"/>
      <c r="W9" s="29"/>
      <c r="X9" s="33"/>
      <c r="Y9" s="29" t="s">
        <v>160</v>
      </c>
      <c r="Z9" s="29" t="s">
        <v>157</v>
      </c>
      <c r="AA9" s="29" t="s">
        <v>582</v>
      </c>
      <c r="AB9" s="29" t="s">
        <v>582</v>
      </c>
      <c r="AC9" s="29" t="s">
        <v>156</v>
      </c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29"/>
      <c r="AP9" s="29" t="s">
        <v>157</v>
      </c>
      <c r="AQ9" s="29" t="s">
        <v>157</v>
      </c>
      <c r="AR9" s="29" t="s">
        <v>156</v>
      </c>
      <c r="AS9" s="29"/>
      <c r="AT9" s="29"/>
      <c r="AU9" s="29" t="s">
        <v>171</v>
      </c>
      <c r="AV9" s="35">
        <v>9714513</v>
      </c>
      <c r="AW9" s="29"/>
      <c r="AX9" s="29" t="s">
        <v>566</v>
      </c>
      <c r="AY9" s="29"/>
      <c r="AZ9" s="29" t="s">
        <v>567</v>
      </c>
      <c r="BA9" s="29"/>
      <c r="BB9" s="29"/>
      <c r="BC9" s="29"/>
      <c r="BD9" s="29"/>
      <c r="BE9" s="29"/>
      <c r="BF9" s="29"/>
      <c r="BG9" s="32"/>
      <c r="BH9" s="29"/>
      <c r="BI9" s="29"/>
      <c r="BJ9" s="29" t="s">
        <v>215</v>
      </c>
      <c r="BK9" s="29"/>
      <c r="BL9" s="29"/>
      <c r="BM9" s="29"/>
      <c r="BN9" s="29"/>
      <c r="BO9" s="29" t="s">
        <v>568</v>
      </c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 t="s">
        <v>569</v>
      </c>
      <c r="CE9" s="29"/>
      <c r="CF9" s="29"/>
      <c r="CG9" s="29"/>
      <c r="CH9" s="29"/>
      <c r="CI9" s="29" t="s">
        <v>222</v>
      </c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32"/>
      <c r="DC9" s="32"/>
      <c r="DD9" s="29"/>
      <c r="DE9" s="29" t="s">
        <v>564</v>
      </c>
      <c r="DF9" s="29"/>
      <c r="DG9" s="29"/>
      <c r="DH9" s="29" t="s">
        <v>565</v>
      </c>
      <c r="DI9" s="32"/>
      <c r="DJ9" s="32"/>
      <c r="DK9" s="29"/>
      <c r="DL9" s="29"/>
      <c r="DM9" s="29"/>
      <c r="DN9" s="29"/>
      <c r="DO9" s="29"/>
      <c r="DP9" s="29"/>
      <c r="DQ9" s="29"/>
      <c r="DR9" s="29"/>
      <c r="DS9" s="29" t="s">
        <v>160</v>
      </c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36"/>
      <c r="ET9" s="36"/>
      <c r="EU9" s="29"/>
      <c r="EV9" s="29"/>
      <c r="EW9" s="29"/>
      <c r="EX9" s="29"/>
      <c r="EY9" s="38" t="s">
        <v>528</v>
      </c>
      <c r="EZ9" s="36"/>
      <c r="FA9" s="29" t="s">
        <v>498</v>
      </c>
      <c r="FB9" s="37" t="s">
        <v>498</v>
      </c>
    </row>
    <row r="10" spans="1:158" x14ac:dyDescent="0.2">
      <c r="A10" s="28" t="s">
        <v>157</v>
      </c>
      <c r="B10" s="29" t="s">
        <v>523</v>
      </c>
      <c r="C10" s="29" t="s">
        <v>517</v>
      </c>
      <c r="D10" s="29" t="s">
        <v>518</v>
      </c>
      <c r="E10" s="38"/>
      <c r="F10" s="29"/>
      <c r="G10" s="29"/>
      <c r="H10" s="29"/>
      <c r="I10" s="29"/>
      <c r="J10" s="29"/>
      <c r="K10" s="29" t="s">
        <v>519</v>
      </c>
      <c r="L10" s="30">
        <v>45569.961111111108</v>
      </c>
      <c r="M10" s="29"/>
      <c r="N10" s="29"/>
      <c r="O10" s="29" t="s">
        <v>157</v>
      </c>
      <c r="P10" s="29" t="s">
        <v>520</v>
      </c>
      <c r="Q10" s="29" t="s">
        <v>157</v>
      </c>
      <c r="R10" s="31"/>
      <c r="S10" s="29"/>
      <c r="T10" s="32"/>
      <c r="U10" s="29"/>
      <c r="V10" s="32"/>
      <c r="W10" s="29"/>
      <c r="X10" s="33"/>
      <c r="Y10" s="29" t="s">
        <v>160</v>
      </c>
      <c r="Z10" s="29" t="s">
        <v>157</v>
      </c>
      <c r="AA10" s="29" t="s">
        <v>582</v>
      </c>
      <c r="AB10" s="29" t="s">
        <v>582</v>
      </c>
      <c r="AC10" s="29" t="s">
        <v>156</v>
      </c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29"/>
      <c r="AP10" s="29" t="s">
        <v>157</v>
      </c>
      <c r="AQ10" s="29" t="s">
        <v>157</v>
      </c>
      <c r="AR10" s="29" t="s">
        <v>157</v>
      </c>
      <c r="AS10" s="29"/>
      <c r="AT10" s="29"/>
      <c r="AU10" s="29" t="s">
        <v>171</v>
      </c>
      <c r="AV10" s="35">
        <v>43178264</v>
      </c>
      <c r="AW10" s="29"/>
      <c r="AX10" s="29" t="s">
        <v>572</v>
      </c>
      <c r="AY10" s="29"/>
      <c r="AZ10" s="29" t="s">
        <v>573</v>
      </c>
      <c r="BA10" s="29"/>
      <c r="BB10" s="29"/>
      <c r="BC10" s="29"/>
      <c r="BD10" s="29"/>
      <c r="BE10" s="29"/>
      <c r="BF10" s="29"/>
      <c r="BG10" s="32"/>
      <c r="BH10" s="29"/>
      <c r="BI10" s="29"/>
      <c r="BJ10" s="29" t="s">
        <v>215</v>
      </c>
      <c r="BK10" s="29"/>
      <c r="BL10" s="29"/>
      <c r="BM10" s="29"/>
      <c r="BN10" s="29"/>
      <c r="BO10" s="29" t="s">
        <v>574</v>
      </c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 t="s">
        <v>575</v>
      </c>
      <c r="CE10" s="29"/>
      <c r="CF10" s="29"/>
      <c r="CG10" s="29"/>
      <c r="CH10" s="29"/>
      <c r="CI10" s="29" t="s">
        <v>222</v>
      </c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32"/>
      <c r="DC10" s="32"/>
      <c r="DD10" s="29"/>
      <c r="DE10" s="29" t="s">
        <v>570</v>
      </c>
      <c r="DF10" s="29"/>
      <c r="DG10" s="29"/>
      <c r="DH10" s="29" t="s">
        <v>571</v>
      </c>
      <c r="DI10" s="32"/>
      <c r="DJ10" s="32"/>
      <c r="DK10" s="29"/>
      <c r="DL10" s="29"/>
      <c r="DM10" s="29"/>
      <c r="DN10" s="29"/>
      <c r="DO10" s="29"/>
      <c r="DP10" s="29"/>
      <c r="DQ10" s="29"/>
      <c r="DR10" s="29"/>
      <c r="DS10" s="29" t="s">
        <v>160</v>
      </c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36"/>
      <c r="ET10" s="36"/>
      <c r="EU10" s="29"/>
      <c r="EV10" s="29"/>
      <c r="EW10" s="29"/>
      <c r="EX10" s="29"/>
      <c r="EY10" s="38" t="s">
        <v>528</v>
      </c>
      <c r="EZ10" s="36"/>
      <c r="FA10" s="29" t="s">
        <v>498</v>
      </c>
      <c r="FB10" s="37" t="s">
        <v>498</v>
      </c>
    </row>
    <row r="11" spans="1:158" ht="13.5" customHeight="1" x14ac:dyDescent="0.2">
      <c r="A11" s="28" t="s">
        <v>157</v>
      </c>
      <c r="B11" s="29" t="s">
        <v>523</v>
      </c>
      <c r="C11" s="29" t="s">
        <v>517</v>
      </c>
      <c r="D11" s="29" t="s">
        <v>518</v>
      </c>
      <c r="E11" s="38"/>
      <c r="F11" s="29"/>
      <c r="G11" s="29"/>
      <c r="H11" s="29"/>
      <c r="I11" s="29"/>
      <c r="J11" s="29"/>
      <c r="K11" s="29" t="s">
        <v>519</v>
      </c>
      <c r="L11" s="30">
        <v>45569.98541666667</v>
      </c>
      <c r="M11" s="29"/>
      <c r="N11" s="29"/>
      <c r="O11" s="29" t="s">
        <v>157</v>
      </c>
      <c r="P11" s="29" t="s">
        <v>520</v>
      </c>
      <c r="Q11" s="29" t="s">
        <v>157</v>
      </c>
      <c r="R11" s="31"/>
      <c r="S11" s="29"/>
      <c r="T11" s="32"/>
      <c r="U11" s="29"/>
      <c r="V11" s="32"/>
      <c r="W11" s="29"/>
      <c r="X11" s="33"/>
      <c r="Y11" s="29" t="s">
        <v>160</v>
      </c>
      <c r="Z11" s="29" t="s">
        <v>157</v>
      </c>
      <c r="AA11" s="29" t="s">
        <v>582</v>
      </c>
      <c r="AB11" s="29" t="s">
        <v>582</v>
      </c>
      <c r="AC11" s="29" t="s">
        <v>156</v>
      </c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29"/>
      <c r="AP11" s="29" t="s">
        <v>157</v>
      </c>
      <c r="AQ11" s="29" t="s">
        <v>156</v>
      </c>
      <c r="AR11" s="29" t="s">
        <v>156</v>
      </c>
      <c r="AS11" s="29"/>
      <c r="AT11" s="29"/>
      <c r="AU11" s="29" t="s">
        <v>171</v>
      </c>
      <c r="AV11" s="35">
        <v>72213231</v>
      </c>
      <c r="AW11" s="29"/>
      <c r="AX11" s="29" t="s">
        <v>578</v>
      </c>
      <c r="AY11" s="29"/>
      <c r="AZ11" s="29" t="s">
        <v>579</v>
      </c>
      <c r="BA11" s="29"/>
      <c r="BB11" s="29"/>
      <c r="BC11" s="29"/>
      <c r="BD11" s="29"/>
      <c r="BE11" s="29"/>
      <c r="BF11" s="29"/>
      <c r="BG11" s="32"/>
      <c r="BH11" s="29"/>
      <c r="BI11" s="29"/>
      <c r="BJ11" s="29" t="s">
        <v>215</v>
      </c>
      <c r="BK11" s="29"/>
      <c r="BL11" s="29"/>
      <c r="BM11" s="29"/>
      <c r="BN11" s="29"/>
      <c r="BO11" s="29" t="s">
        <v>580</v>
      </c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 t="s">
        <v>581</v>
      </c>
      <c r="CE11" s="29"/>
      <c r="CF11" s="29"/>
      <c r="CG11" s="29"/>
      <c r="CH11" s="29"/>
      <c r="CI11" s="29" t="s">
        <v>222</v>
      </c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32"/>
      <c r="DC11" s="32"/>
      <c r="DD11" s="29"/>
      <c r="DE11" s="29" t="s">
        <v>576</v>
      </c>
      <c r="DF11" s="29"/>
      <c r="DG11" s="29"/>
      <c r="DH11" s="29" t="s">
        <v>577</v>
      </c>
      <c r="DI11" s="32"/>
      <c r="DJ11" s="32"/>
      <c r="DK11" s="29"/>
      <c r="DL11" s="29"/>
      <c r="DM11" s="29"/>
      <c r="DN11" s="29"/>
      <c r="DO11" s="29"/>
      <c r="DP11" s="29"/>
      <c r="DQ11" s="29"/>
      <c r="DR11" s="29"/>
      <c r="DS11" s="29" t="s">
        <v>160</v>
      </c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36"/>
      <c r="ET11" s="36"/>
      <c r="EU11" s="29"/>
      <c r="EV11" s="29"/>
      <c r="EW11" s="29"/>
      <c r="EX11" s="29"/>
      <c r="EY11" s="38" t="s">
        <v>528</v>
      </c>
      <c r="EZ11" s="36"/>
      <c r="FA11" s="29" t="s">
        <v>498</v>
      </c>
      <c r="FB11" s="37" t="s">
        <v>498</v>
      </c>
    </row>
  </sheetData>
  <phoneticPr fontId="1" type="noConversion"/>
  <dataValidations xWindow="108" yWindow="251" count="29">
    <dataValidation type="textLength" operator="lessThanOrEqual" allowBlank="1" showInputMessage="1" showErrorMessage="1" errorTitle="Longitud excedida" error="Este valor debe tener 100 caracteres o menos." promptTitle="Texto" prompt="Longitud máxima: 100 caracteres." sqref="AB2 J3:J1048576 G2:I1048576 AA2:AA1048576 P3:P1048576 K2:K1048576 B2:C1048576 DD2:DE1048576 CD2:CE1048576 BC2:BC1048576 BF2:BF1048576 ES2:ET1048576 DV2:DW1048576 DO2:DR1048576 CS2:CS1048576 EF2:EF1048576 AD2:AO1048576 M2:M1048576 CZ2:CZ1048576 AS2:AS1048576 D3:D1048576 E2:E1048576" xr:uid="{00000000-0002-0000-0000-000001000000}">
      <formula1>100</formula1>
    </dataValidation>
    <dataValidation showInputMessage="1" showErrorMessage="1" error=" " promptTitle="Búsqueda (se requiere)" prompt="Este registro de Base de datos ya tiene que existir en Microsoft Dynamics 365 o en este archivo de origen." sqref="AB3:AB1048576" xr:uid="{00000000-0002-0000-0000-000007000000}"/>
    <dataValidation type="textLength" operator="lessThanOrEqual" allowBlank="1" showInputMessage="1" showErrorMessage="1" errorTitle="Longitud excedida" error="Este valor debe tener 200 caracteres o menos." promptTitle="Texto" prompt="Longitud máxima: 200 caracteres." sqref="CV3:CV1048576 CT2:CT1048576" xr:uid="{00000000-0002-0000-0000-000005000000}">
      <formula1>200</formula1>
    </dataValidation>
    <dataValidation type="textLength" operator="lessThanOrEqual" allowBlank="1" showInputMessage="1" showErrorMessage="1" errorTitle="Longitud excedida" error="Este valor debe tener 2000 caracteres o menos." promptTitle="Texto" prompt="Longitud máxima: 2000 caracteres." sqref="DA3:DA1048576 BB2:BB1048576 F2:F1048576" xr:uid="{00000000-0002-0000-0000-000000000000}">
      <formula1>2000</formula1>
    </dataValidation>
    <dataValidation type="textLength" operator="lessThanOrEqual" allowBlank="1" showInputMessage="1" showErrorMessage="1" errorTitle="Longitud excedida" error="Este valor debe tener 300 caracteres o menos." promptTitle="Texto" prompt="Longitud máxima: 300 caracteres." sqref="AW3:AW1048576" xr:uid="{00000000-0002-0000-0000-000003000000}">
      <formula1>300</formula1>
    </dataValidation>
    <dataValidation type="date" operator="greaterThanOrEqual" allowBlank="1" showInputMessage="1" showErrorMessage="1" errorTitle="Fecha no válida" error="Fecha de ingreso debe estar en el formato de fecha correcto." promptTitle="Fecha" prompt=" " sqref="L2:L1048576" xr:uid="{00000000-0002-0000-0000-000009000000}">
      <formula1>1</formula1>
    </dataValidation>
    <dataValidation type="textLength" operator="lessThanOrEqual" allowBlank="1" showInputMessage="1" showErrorMessage="1" errorTitle="Longitud excedida" error="Este valor debe tener 50 caracteres o menos." promptTitle="Texto" prompt="Longitud máxima: 50 caracteres." sqref="EC2:EC1048576 BA2:BA1048576 BE2:BE1048576 BP2:BP1048576 EP2:EP1048576 AX2:AY1048576 DZ2:EA1048576" xr:uid="{00000000-0002-0000-0000-000002000000}">
      <formula1>50</formula1>
    </dataValidation>
    <dataValidation type="textLength" operator="lessThanOrEqual" allowBlank="1" showInputMessage="1" showErrorMessage="1" errorTitle="Longitud excedida" error="Este valor debe tener 150 caracteres o menos." promptTitle="Texto" prompt="Longitud máxima: 150 caracteres." sqref="EB2:EB1048576" xr:uid="{00000000-0002-0000-0000-000006000000}">
      <formula1>150</formula1>
    </dataValidation>
    <dataValidation type="textLength" operator="lessThanOrEqual" allowBlank="1" showInputMessage="1" showErrorMessage="1" errorTitle="Longitud excedida" error="Este valor debe tener 54 caracteres o menos." promptTitle="Texto" prompt="Longitud máxima: 54 caracteres." sqref="DY2:DY1048576 AV2:AV1048576" xr:uid="{00000000-0002-0000-0000-00000F000000}">
      <formula1>54</formula1>
    </dataValidation>
    <dataValidation type="textLength" operator="lessThanOrEqual" allowBlank="1" showInputMessage="1" showErrorMessage="1" errorTitle="Longitud excedida" error="Este valor debe tener 67 caracteres o menos." promptTitle="Texto" prompt="Longitud máxima: 67 caracteres." sqref="BO2:BO1048576" xr:uid="{00000000-0002-0000-0000-000011000000}">
      <formula1>67</formula1>
    </dataValidation>
    <dataValidation type="textLength" operator="lessThanOrEqual" allowBlank="1" showInputMessage="1" showErrorMessage="1" errorTitle="Longitud excedida" error="Este valor debe tener 125 caracteres o menos." promptTitle="Texto" prompt="Longitud máxima: 125 caracteres." sqref="AZ2:AZ1048576" xr:uid="{00000000-0002-0000-0000-000004000000}">
      <formula1>125</formula1>
    </dataValidation>
    <dataValidation type="textLength" operator="lessThanOrEqual" allowBlank="1" showInputMessage="1" showErrorMessage="1" errorTitle="Longitud excedida" error="Este valor debe tener 20 caracteres o menos." promptTitle="Texto" prompt="Longitud máxima: 20 caracteres." sqref="EO2:EO1048576 AT2:AT1048576" xr:uid="{00000000-0002-0000-0000-000008000000}">
      <formula1>20</formula1>
    </dataValidation>
    <dataValidation type="date" operator="greaterThanOrEqual" allowBlank="1" showInputMessage="1" showErrorMessage="1" errorTitle="Fecha no válida" error="Fecha de Nacimiento debe estar en el formato de fecha correcto." promptTitle="Fecha" prompt=" " sqref="BG2:BG1048576" xr:uid="{00000000-0002-0000-0000-000010000000}">
      <formula1>1</formula1>
    </dataValidation>
    <dataValidation type="textLength" operator="lessThanOrEqual" allowBlank="1" showInputMessage="1" showErrorMessage="1" errorTitle="Longitud excedida" error="Este valor debe tener 30 caracteres o menos." promptTitle="Texto" prompt="Longitud máxima: 30 caracteres." sqref="BQ2:BS1048576" xr:uid="{00000000-0002-0000-0000-000012000000}">
      <formula1>30</formula1>
    </dataValidation>
    <dataValidation type="textLength" operator="lessThanOrEqual" allowBlank="1" showInputMessage="1" showErrorMessage="1" errorTitle="Longitud excedida" error="Este valor debe tener 10 caracteres o menos." promptTitle="Texto" prompt="Longitud máxima: 10 caracteres." sqref="BT2:BX1048576" xr:uid="{00000000-0002-0000-0000-000013000000}">
      <formula1>10</formula1>
    </dataValidation>
    <dataValidation allowBlank="1" showInputMessage="1" showErrorMessage="1" error=" " promptTitle="Búsqueda" prompt="Este registro de Sede ya tiene que existir en Microsoft Dynamics 365 o en este archivo de origen." sqref="N2:N1048576" xr:uid="{00000000-0002-0000-0000-00000A000000}"/>
    <dataValidation type="date" operator="greaterThanOrEqual" allowBlank="1" showInputMessage="1" showErrorMessage="1" errorTitle="Fecha no válida" error="Fecha de inscripción a evento debe estar en el formato de fecha correcto." promptTitle="Fecha" prompt=" " sqref="R2:R1048576" xr:uid="{00000000-0002-0000-0000-00000B000000}">
      <formula1>1</formula1>
    </dataValidation>
    <dataValidation type="date" operator="greaterThanOrEqual" allowBlank="1" showInputMessage="1" showErrorMessage="1" errorTitle="Fecha no válida" error="Fecha de asistencia a evento debe estar en el formato de fecha correcto." promptTitle="Fecha" prompt=" " sqref="T2:T1048576" xr:uid="{00000000-0002-0000-0000-00000C000000}">
      <formula1>1</formula1>
    </dataValidation>
    <dataValidation type="date" operator="greaterThanOrEqual" allowBlank="1" showInputMessage="1" showErrorMessage="1" errorTitle="Fecha no válida" error="Fecha de confirmación debe estar en el formato de fecha correcto." promptTitle="Fecha" prompt=" " sqref="V2:V1048576" xr:uid="{00000000-0002-0000-0000-00000D000000}">
      <formula1>1</formula1>
    </dataValidation>
    <dataValidation type="textLength" operator="lessThanOrEqual" allowBlank="1" showInputMessage="1" showErrorMessage="1" errorTitle="Longitud excedida" error="Este valor debe tener 500 caracteres o menos." promptTitle="Texto" prompt="Longitud máxima: 500 caracteres." sqref="X2:X1048576" xr:uid="{00000000-0002-0000-0000-00000E000000}">
      <formula1>500</formula1>
    </dataValidation>
    <dataValidation type="textLength" operator="lessThanOrEqual" allowBlank="1" showInputMessage="1" showErrorMessage="1" errorTitle="Longitud excedida" error="Este valor debe tener 255 caracteres o menos." promptTitle="Texto" prompt="Longitud máxima: 255 caracteres." sqref="CF2:CH1048576" xr:uid="{00000000-0002-0000-0000-000014000000}">
      <formula1>255</formula1>
    </dataValidation>
    <dataValidation type="date" operator="greaterThanOrEqual" allowBlank="1" showInputMessage="1" showErrorMessage="1" errorTitle="Fecha no válida" error="Año bachiller debe estar en el formato de fecha correcto." promptTitle="Fecha" prompt=" " sqref="DB2:DB1048576" xr:uid="{00000000-0002-0000-0000-000015000000}">
      <formula1>1</formula1>
    </dataValidation>
    <dataValidation type="date" operator="greaterThanOrEqual" allowBlank="1" showInputMessage="1" showErrorMessage="1" errorTitle="Fecha no válida" error="Año egreso debe estar en el formato de fecha correcto." promptTitle="Fecha" prompt=" " sqref="DC2:DC1048576" xr:uid="{00000000-0002-0000-0000-000016000000}">
      <formula1>1</formula1>
    </dataValidation>
    <dataValidation type="textLength" operator="lessThanOrEqual" allowBlank="1" showInputMessage="1" showErrorMessage="1" errorTitle="Longitud excedida" error="Este valor debe tener 162 caracteres o menos." promptTitle="Texto" prompt="Longitud máxima: 162 caracteres." sqref="DH2:DH1048576" xr:uid="{00000000-0002-0000-0000-000017000000}">
      <formula1>162</formula1>
    </dataValidation>
    <dataValidation type="date" operator="greaterThanOrEqual" allowBlank="1" showInputMessage="1" showErrorMessage="1" errorTitle="Fecha no válida" error="Años de experiencia laboral posterior al bachiller debe estar en el formato de fecha correcto." promptTitle="Fecha" prompt=" " sqref="DI2:DI1048576" xr:uid="{00000000-0002-0000-0000-000018000000}">
      <formula1>1</formula1>
    </dataValidation>
    <dataValidation type="date" operator="greaterThanOrEqual" allowBlank="1" showInputMessage="1" showErrorMessage="1" errorTitle="Fecha no válida" error="Fecha de inicio laboral debe estar en el formato de fecha correcto." promptTitle="Fecha" prompt=" " sqref="DJ2:DJ1048576" xr:uid="{00000000-0002-0000-0000-000019000000}">
      <formula1>1</formula1>
    </dataValidation>
    <dataValidation type="textLength" operator="lessThanOrEqual" allowBlank="1" showInputMessage="1" showErrorMessage="1" errorTitle="Longitud excedida" error="Este valor debe tener 120 caracteres o menos." promptTitle="Texto" prompt="Longitud máxima: 120 caracteres." sqref="DK2:DK1048576" xr:uid="{00000000-0002-0000-0000-00001A000000}">
      <formula1>120</formula1>
    </dataValidation>
    <dataValidation type="textLength" operator="lessThanOrEqual" showInputMessage="1" showErrorMessage="1" errorTitle="Longitud excedida" error="Este valor debe tener 250 caracteres o menos." promptTitle="Texto (se requiere)" prompt="Longitud máxima: 250 caracteres." sqref="EY2:EY1048576" xr:uid="{00000000-0002-0000-0000-00001B000000}">
      <formula1>250</formula1>
    </dataValidation>
    <dataValidation showInputMessage="1" showErrorMessage="1" error=" " promptTitle="Búsqueda (se requiere)" prompt="Este registro de Propietario ya tiene que existir en Microsoft Dynamics 365 o en este archivo de origen." sqref="EZ2:EZ1048576" xr:uid="{00000000-0002-0000-0000-00001C000000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xWindow="108" yWindow="251" count="67">
        <x14:dataValidation type="list" allowBlank="1" showInputMessage="1" showErrorMessage="1" errorTitle="Valor de lista" error="Grado de colegio actual debe estar seleccionado en la lista desplegable." promptTitle="Conjunto de opciones" prompt="Seleccione un valor de la lista desplegable." xr:uid="{00000000-0002-0000-0000-00001D000000}">
          <x14:formula1>
            <xm:f>hiddenSheet!$A$40:$J$40</xm:f>
          </x14:formula1>
          <xm:sqref>AW2 CX2:CX1048576</xm:sqref>
        </x14:dataValidation>
        <x14:dataValidation type="list" allowBlank="1" showInputMessage="1" showErrorMessage="1" errorTitle="Valor de lista" error="Autorizacion uso datos por terceros debe estar seleccionado en la lista desplegable." promptTitle="Conjunto de opciones" prompt="Seleccione un valor de la lista desplegable." xr:uid="{00000000-0002-0000-0000-00002D000000}">
          <x14:formula1>
            <xm:f>hiddenSheet!$A$12:$C$12</xm:f>
          </x14:formula1>
          <xm:sqref>AQ2:AQ1048576</xm:sqref>
        </x14:dataValidation>
        <x14:dataValidation type="list" allowBlank="1" showInputMessage="1" showErrorMessage="1" errorTitle="Valor de lista" error="Autorizacion uso datos por UP debe estar seleccionado en la lista desplegable." promptTitle="Conjunto de opciones" prompt="Seleccione un valor de la lista desplegable." xr:uid="{00000000-0002-0000-0000-00002E000000}">
          <x14:formula1>
            <xm:f>hiddenSheet!$A$13:$C$13</xm:f>
          </x14:formula1>
          <xm:sqref>AR2:AR1048576</xm:sqref>
        </x14:dataValidation>
        <x14:dataValidation type="list" allowBlank="1" showInputMessage="1" showErrorMessage="1" errorTitle="Valor de lista" error="Razón para el estado debe estar seleccionado en la lista desplegable." promptTitle="Conjunto de opciones" prompt="Seleccione un valor de la lista desplegable." xr:uid="{00000000-0002-0000-0000-000056000000}">
          <x14:formula1>
            <xm:f>hiddenSheet!$A$68:$B$68</xm:f>
          </x14:formula1>
          <xm:sqref>FB2:FB1048576</xm:sqref>
        </x14:dataValidation>
        <x14:dataValidation type="list" allowBlank="1" showInputMessage="1" showErrorMessage="1" errorTitle="Valor de lista" error="Saludo debe estar seleccionado en la lista desplegable." promptTitle="Conjunto de opciones" prompt="Seleccione un valor de la lista desplegable." xr:uid="{00000000-0002-0000-0000-000030000000}">
          <x14:formula1>
            <xm:f>hiddenSheet!$A$15:$AA$15</xm:f>
          </x14:formula1>
          <xm:sqref>BD2:BD1048576</xm:sqref>
        </x14:dataValidation>
        <x14:dataValidation type="list" allowBlank="1" showInputMessage="1" showErrorMessage="1" errorTitle="Valor de lista" error="Género debe estar seleccionado en la lista desplegable." promptTitle="Conjunto de opciones" prompt="Seleccione un valor de la lista desplegable." xr:uid="{00000000-0002-0000-0000-000031000000}">
          <x14:formula1>
            <xm:f>hiddenSheet!$A$16:$C$16</xm:f>
          </x14:formula1>
          <xm:sqref>BH2:BH1048576</xm:sqref>
        </x14:dataValidation>
        <x14:dataValidation type="list" allowBlank="1" showInputMessage="1" showErrorMessage="1" errorTitle="Valor de lista" error="Estado civil debe estar seleccionado en la lista desplegable." promptTitle="Conjunto de opciones" prompt="Seleccione un valor de la lista desplegable." xr:uid="{00000000-0002-0000-0000-000032000000}">
          <x14:formula1>
            <xm:f>hiddenSheet!$A$17:$F$17</xm:f>
          </x14:formula1>
          <xm:sqref>BI2:BI1048576</xm:sqref>
        </x14:dataValidation>
        <x14:dataValidation type="list" allowBlank="1" showInputMessage="1" showErrorMessage="1" errorTitle="Valor de lista" error="Tipo de teléfono #1 debe estar seleccionado en la lista desplegable." promptTitle="Conjunto de opciones" prompt="Seleccione un valor de la lista desplegable." xr:uid="{00000000-0002-0000-0000-000033000000}">
          <x14:formula1>
            <xm:f>hiddenSheet!$A$18:$F$18</xm:f>
          </x14:formula1>
          <xm:sqref>BJ2:BJ1048576</xm:sqref>
        </x14:dataValidation>
        <x14:dataValidation type="list" allowBlank="1" showInputMessage="1" showErrorMessage="1" errorTitle="Valor de lista" error="Tipo de teléfono #2 debe estar seleccionado en la lista desplegable." promptTitle="Conjunto de opciones" prompt="Seleccione un valor de la lista desplegable." xr:uid="{00000000-0002-0000-0000-000034000000}">
          <x14:formula1>
            <xm:f>hiddenSheet!$A$19:$F$19</xm:f>
          </x14:formula1>
          <xm:sqref>BK2:BK1048576</xm:sqref>
        </x14:dataValidation>
        <x14:dataValidation type="list" allowBlank="1" showInputMessage="1" showErrorMessage="1" errorTitle="Valor de lista" error="Tipo de teléfono #3 debe estar seleccionado en la lista desplegable." promptTitle="Conjunto de opciones" prompt="Seleccione un valor de la lista desplegable." xr:uid="{00000000-0002-0000-0000-000035000000}">
          <x14:formula1>
            <xm:f>hiddenSheet!$A$20:$F$20</xm:f>
          </x14:formula1>
          <xm:sqref>BL2:BL1048576</xm:sqref>
        </x14:dataValidation>
        <x14:dataValidation type="list" allowBlank="1" showInputMessage="1" showErrorMessage="1" errorTitle="Valor de lista" error="Tipo de teléfono #4 debe estar seleccionado en la lista desplegable." promptTitle="Conjunto de opciones" prompt="Seleccione un valor de la lista desplegable." xr:uid="{00000000-0002-0000-0000-000036000000}">
          <x14:formula1>
            <xm:f>hiddenSheet!$A$21:$F$21</xm:f>
          </x14:formula1>
          <xm:sqref>BM2:BM1048576</xm:sqref>
        </x14:dataValidation>
        <x14:dataValidation type="list" allowBlank="1" showInputMessage="1" showErrorMessage="1" errorTitle="Valor de lista" error="Tipo de teléfono #5 debe estar seleccionado en la lista desplegable." promptTitle="Conjunto de opciones" prompt="Seleccione un valor de la lista desplegable." xr:uid="{00000000-0002-0000-0000-000037000000}">
          <x14:formula1>
            <xm:f>hiddenSheet!$A$22:$F$22</xm:f>
          </x14:formula1>
          <xm:sqref>BN2:BN1048576</xm:sqref>
        </x14:dataValidation>
        <x14:dataValidation type="list" allowBlank="1" showInputMessage="1" showErrorMessage="1" errorTitle="Valor de lista" error="Telefono Principal #1 debe estar seleccionado en la lista desplegable." promptTitle="Conjunto de opciones" prompt="Seleccione un valor de la lista desplegable." xr:uid="{00000000-0002-0000-0000-000038000000}">
          <x14:formula1>
            <xm:f>hiddenSheet!$A$23:$B$23</xm:f>
          </x14:formula1>
          <xm:sqref>BY2:BY1048576</xm:sqref>
        </x14:dataValidation>
        <x14:dataValidation type="list" allowBlank="1" showInputMessage="1" showErrorMessage="1" errorTitle="Valor de lista" error="Telefono Principal #2 debe estar seleccionado en la lista desplegable." promptTitle="Conjunto de opciones" prompt="Seleccione un valor de la lista desplegable." xr:uid="{00000000-0002-0000-0000-000039000000}">
          <x14:formula1>
            <xm:f>hiddenSheet!$A$24:$B$24</xm:f>
          </x14:formula1>
          <xm:sqref>BZ2:BZ1048576</xm:sqref>
        </x14:dataValidation>
        <x14:dataValidation type="list" allowBlank="1" showInputMessage="1" showErrorMessage="1" errorTitle="Valor de lista" error="Telefono Principal #3 debe estar seleccionado en la lista desplegable." promptTitle="Conjunto de opciones" prompt="Seleccione un valor de la lista desplegable." xr:uid="{00000000-0002-0000-0000-00003A000000}">
          <x14:formula1>
            <xm:f>hiddenSheet!$A$25:$B$25</xm:f>
          </x14:formula1>
          <xm:sqref>CA2:CA1048576</xm:sqref>
        </x14:dataValidation>
        <x14:dataValidation type="list" allowBlank="1" showInputMessage="1" showErrorMessage="1" errorTitle="Valor de lista" error="Telefono Principal #4 debe estar seleccionado en la lista desplegable." promptTitle="Conjunto de opciones" prompt="Seleccione un valor de la lista desplegable." xr:uid="{00000000-0002-0000-0000-00003B000000}">
          <x14:formula1>
            <xm:f>hiddenSheet!$A$26:$B$26</xm:f>
          </x14:formula1>
          <xm:sqref>CB2:CB1048576</xm:sqref>
        </x14:dataValidation>
        <x14:dataValidation type="list" allowBlank="1" showInputMessage="1" showErrorMessage="1" errorTitle="Valor de lista" error="Telefono Principal #5 debe estar seleccionado en la lista desplegable." promptTitle="Conjunto de opciones" prompt="Seleccione un valor de la lista desplegable." xr:uid="{00000000-0002-0000-0000-00003C000000}">
          <x14:formula1>
            <xm:f>hiddenSheet!$A$27:$B$27</xm:f>
          </x14:formula1>
          <xm:sqref>CC2:CC1048576</xm:sqref>
        </x14:dataValidation>
        <x14:dataValidation type="list" allowBlank="1" showInputMessage="1" showErrorMessage="1" errorTitle="Valor de lista" error="Tipo de teléfono #2 Relacionado debe estar seleccionado en la lista desplegable." promptTitle="Conjunto de opciones" prompt="Seleccione un valor de la lista desplegable." xr:uid="{00000000-0002-0000-0000-00001E000000}">
          <x14:formula1>
            <xm:f>hiddenSheet!$A$60:$F$60</xm:f>
          </x14:formula1>
          <xm:sqref>EN2:EN1048576</xm:sqref>
        </x14:dataValidation>
        <x14:dataValidation type="list" allowBlank="1" showInputMessage="1" showErrorMessage="1" errorTitle="Valor de lista" error="Género Relacionado debe estar seleccionado en la lista desplegable." promptTitle="Conjunto de opciones" prompt="Seleccione un valor de la lista desplegable." xr:uid="{00000000-0002-0000-0000-00001F000000}">
          <x14:formula1>
            <xm:f>hiddenSheet!$A$51:$C$51</xm:f>
          </x14:formula1>
          <xm:sqref>ED2:ED1048576</xm:sqref>
        </x14:dataValidation>
        <x14:dataValidation type="list" allowBlank="1" showInputMessage="1" showErrorMessage="1" errorTitle="Valor de lista" error="Teléfono Principal #1 Relacionado debe estar seleccionado en la lista desplegable." promptTitle="Conjunto de opciones" prompt="Seleccione un valor de la lista desplegable." xr:uid="{00000000-0002-0000-0000-000020000000}">
          <x14:formula1>
            <xm:f>hiddenSheet!$A$61:$B$61</xm:f>
          </x14:formula1>
          <xm:sqref>EQ2:EQ1048576</xm:sqref>
        </x14:dataValidation>
        <x14:dataValidation type="list" allowBlank="1" showInputMessage="1" showErrorMessage="1" errorTitle="Valor de lista" error="Teléfono Principal #2 Relacionado debe estar seleccionado en la lista desplegable." promptTitle="Conjunto de opciones" prompt="Seleccione un valor de la lista desplegable." xr:uid="{00000000-0002-0000-0000-000021000000}">
          <x14:formula1>
            <xm:f>hiddenSheet!$A$62:$B$62</xm:f>
          </x14:formula1>
          <xm:sqref>ER2:ER1048576</xm:sqref>
        </x14:dataValidation>
        <x14:dataValidation type="list" allowBlank="1" showInputMessage="1" showErrorMessage="1" errorTitle="Valor de lista" error="Tipo de teléfono #1 relacionado debe estar seleccionado en la lista desplegable." promptTitle="Conjunto de opciones" prompt="Seleccione un valor de la lista desplegable." xr:uid="{00000000-0002-0000-0000-000022000000}">
          <x14:formula1>
            <xm:f>hiddenSheet!$A$59:$F$59</xm:f>
          </x14:formula1>
          <xm:sqref>EM2:EM1048576</xm:sqref>
        </x14:dataValidation>
        <x14:dataValidation type="list" allowBlank="1" showInputMessage="1" showErrorMessage="1" errorTitle="Valor de lista" error="Indicador de Conexiones debe estar seleccionado en la lista desplegable." promptTitle="Conjunto de opciones" prompt="Seleccione un valor de la lista desplegable." xr:uid="{00000000-0002-0000-0000-000023000000}">
          <x14:formula1>
            <xm:f>hiddenSheet!$A$2:$B$2</xm:f>
          </x14:formula1>
          <xm:sqref>A2:A1048576</xm:sqref>
        </x14:dataValidation>
        <x14:dataValidation type="list" allowBlank="1" showInputMessage="1" showErrorMessage="1" errorTitle="Valor de lista" error="Asistio a evento debe estar seleccionado en la lista desplegable." promptTitle="Conjunto de opciones" prompt="Seleccione un valor de la lista desplegable." xr:uid="{00000000-0002-0000-0000-000024000000}">
          <x14:formula1>
            <xm:f>hiddenSheet!$A$5:$B$5</xm:f>
          </x14:formula1>
          <xm:sqref>S2:S1048576</xm:sqref>
        </x14:dataValidation>
        <x14:dataValidation type="list" allowBlank="1" showInputMessage="1" showErrorMessage="1" errorTitle="Valor de lista" error="Inscrito debe estar seleccionado en la lista desplegable." promptTitle="Conjunto de opciones" prompt="Seleccione un valor de la lista desplegable." xr:uid="{00000000-0002-0000-0000-000025000000}">
          <x14:formula1>
            <xm:f>hiddenSheet!$A$4:$B$4</xm:f>
          </x14:formula1>
          <xm:sqref>Q2:Q1048576</xm:sqref>
        </x14:dataValidation>
        <x14:dataValidation type="list" allowBlank="1" showInputMessage="1" showErrorMessage="1" errorTitle="Valor de lista" error="Indicador participación a evento debe estar seleccionado en la lista desplegable." promptTitle="Conjunto de opciones" prompt="Seleccione un valor de la lista desplegable." xr:uid="{00000000-0002-0000-0000-000026000000}">
          <x14:formula1>
            <xm:f>hiddenSheet!$A$3:$B$3</xm:f>
          </x14:formula1>
          <xm:sqref>O2:O1048576</xm:sqref>
        </x14:dataValidation>
        <x14:dataValidation type="list" allowBlank="1" showInputMessage="1" showErrorMessage="1" errorTitle="Valor de lista" error="Confirmó debe estar seleccionado en la lista desplegable." promptTitle="Conjunto de opciones" prompt="Seleccione un valor de la lista desplegable." xr:uid="{00000000-0002-0000-0000-000027000000}">
          <x14:formula1>
            <xm:f>hiddenSheet!$A$6:$B$6</xm:f>
          </x14:formula1>
          <xm:sqref>U2:U1048576</xm:sqref>
        </x14:dataValidation>
        <x14:dataValidation type="list" allowBlank="1" showInputMessage="1" showErrorMessage="1" errorTitle="Valor de lista" error="Pagó debe estar seleccionado en la lista desplegable." promptTitle="Conjunto de opciones" prompt="Seleccione un valor de la lista desplegable." xr:uid="{00000000-0002-0000-0000-000028000000}">
          <x14:formula1>
            <xm:f>hiddenSheet!$A$7:$B$7</xm:f>
          </x14:formula1>
          <xm:sqref>W2:W1048576</xm:sqref>
        </x14:dataValidation>
        <x14:dataValidation type="list" allowBlank="1" showInputMessage="1" showErrorMessage="1" errorTitle="Valor de lista" error="Fuente Participación Evento debe estar seleccionado en la lista desplegable." promptTitle="Conjunto de opciones" prompt="Seleccione un valor de la lista desplegable." xr:uid="{00000000-0002-0000-0000-000029000000}">
          <x14:formula1>
            <xm:f>hiddenSheet!$A$8:$I$8</xm:f>
          </x14:formula1>
          <xm:sqref>Y2:Y1048576</xm:sqref>
        </x14:dataValidation>
        <x14:dataValidation type="list" allowBlank="1" showInputMessage="1" showErrorMessage="1" errorTitle="Valor de lista" error="Indicador de base de datos debe estar seleccionado en la lista desplegable." promptTitle="Conjunto de opciones" prompt="Seleccione un valor de la lista desplegable." xr:uid="{00000000-0002-0000-0000-00002A000000}">
          <x14:formula1>
            <xm:f>hiddenSheet!$A$9:$B$9</xm:f>
          </x14:formula1>
          <xm:sqref>Z2:Z1048576</xm:sqref>
        </x14:dataValidation>
        <x14:dataValidation type="list" allowBlank="1" showInputMessage="1" showErrorMessage="1" errorTitle="Valor de lista" error="Indicador de Interes debe estar seleccionado en la lista desplegable." promptTitle="Conjunto de opciones" prompt="Seleccione un valor de la lista desplegable." xr:uid="{00000000-0002-0000-0000-00002B000000}">
          <x14:formula1>
            <xm:f>hiddenSheet!$A$10:$B$10</xm:f>
          </x14:formula1>
          <xm:sqref>AC2:AC1048576</xm:sqref>
        </x14:dataValidation>
        <x14:dataValidation type="list" allowBlank="1" showInputMessage="1" showErrorMessage="1" errorTitle="Valor de lista" error="Indicador autorización de datos debe estar seleccionado en la lista desplegable." promptTitle="Conjunto de opciones" prompt="Seleccione un valor de la lista desplegable." xr:uid="{00000000-0002-0000-0000-00002C000000}">
          <x14:formula1>
            <xm:f>hiddenSheet!$A$11:$B$11</xm:f>
          </x14:formula1>
          <xm:sqref>AP2:AP1048576</xm:sqref>
        </x14:dataValidation>
        <x14:dataValidation type="list" allowBlank="1" showInputMessage="1" showErrorMessage="1" errorTitle="Valor de lista" error="Tipo de documento debe estar seleccionado en la lista desplegable." promptTitle="Conjunto de opciones" prompt="Seleccione un valor de la lista desplegable." xr:uid="{00000000-0002-0000-0000-00002F000000}">
          <x14:formula1>
            <xm:f>hiddenSheet!$A$14:$J$14</xm:f>
          </x14:formula1>
          <xm:sqref>AU2:AU1048576</xm:sqref>
        </x14:dataValidation>
        <x14:dataValidation type="list" allowBlank="1" showInputMessage="1" showErrorMessage="1" errorTitle="Valor de lista" error="Tipo correo electrónico #1 debe estar seleccionado en la lista desplegable." promptTitle="Conjunto de opciones" prompt="Seleccione un valor de la lista desplegable." xr:uid="{00000000-0002-0000-0000-00003D000000}">
          <x14:formula1>
            <xm:f>hiddenSheet!$A$28:$J$28</xm:f>
          </x14:formula1>
          <xm:sqref>CI2:CI1048576</xm:sqref>
        </x14:dataValidation>
        <x14:dataValidation type="list" allowBlank="1" showInputMessage="1" showErrorMessage="1" errorTitle="Valor de lista" error="Tipo correo electrónico #2 debe estar seleccionado en la lista desplegable." promptTitle="Conjunto de opciones" prompt="Seleccione un valor de la lista desplegable." xr:uid="{00000000-0002-0000-0000-00003E000000}">
          <x14:formula1>
            <xm:f>hiddenSheet!$A$29:$J$29</xm:f>
          </x14:formula1>
          <xm:sqref>CJ2:CJ1048576</xm:sqref>
        </x14:dataValidation>
        <x14:dataValidation type="list" allowBlank="1" showInputMessage="1" showErrorMessage="1" errorTitle="Valor de lista" error="Tipo correo electrónico #3 debe estar seleccionado en la lista desplegable." promptTitle="Conjunto de opciones" prompt="Seleccione un valor de la lista desplegable." xr:uid="{00000000-0002-0000-0000-00003F000000}">
          <x14:formula1>
            <xm:f>hiddenSheet!$A$30:$J$30</xm:f>
          </x14:formula1>
          <xm:sqref>CK2:CK1048576</xm:sqref>
        </x14:dataValidation>
        <x14:dataValidation type="list" allowBlank="1" showInputMessage="1" showErrorMessage="1" errorTitle="Valor de lista" error="Tipo correo electrónico #4 debe estar seleccionado en la lista desplegable." promptTitle="Conjunto de opciones" prompt="Seleccione un valor de la lista desplegable." xr:uid="{00000000-0002-0000-0000-000040000000}">
          <x14:formula1>
            <xm:f>hiddenSheet!$A$31:$J$31</xm:f>
          </x14:formula1>
          <xm:sqref>CL2:CL1048576</xm:sqref>
        </x14:dataValidation>
        <x14:dataValidation type="list" allowBlank="1" showInputMessage="1" showErrorMessage="1" errorTitle="Valor de lista" error="Tipo correo electrónico #5 debe estar seleccionado en la lista desplegable." promptTitle="Conjunto de opciones" prompt="Seleccione un valor de la lista desplegable." xr:uid="{00000000-0002-0000-0000-000041000000}">
          <x14:formula1>
            <xm:f>hiddenSheet!$A$32:$J$32</xm:f>
          </x14:formula1>
          <xm:sqref>CM2:CM1048576</xm:sqref>
        </x14:dataValidation>
        <x14:dataValidation type="list" allowBlank="1" showInputMessage="1" showErrorMessage="1" errorTitle="Valor de lista" error="Email Principal #1 debe estar seleccionado en la lista desplegable." promptTitle="Conjunto de opciones" prompt="Seleccione un valor de la lista desplegable." xr:uid="{00000000-0002-0000-0000-000042000000}">
          <x14:formula1>
            <xm:f>hiddenSheet!$A$33:$B$33</xm:f>
          </x14:formula1>
          <xm:sqref>CN2:CN1048576</xm:sqref>
        </x14:dataValidation>
        <x14:dataValidation type="list" allowBlank="1" showInputMessage="1" showErrorMessage="1" errorTitle="Valor de lista" error="Email Principal #2 debe estar seleccionado en la lista desplegable." promptTitle="Conjunto de opciones" prompt="Seleccione un valor de la lista desplegable." xr:uid="{00000000-0002-0000-0000-000043000000}">
          <x14:formula1>
            <xm:f>hiddenSheet!$A$34:$B$34</xm:f>
          </x14:formula1>
          <xm:sqref>CO2:CO1048576</xm:sqref>
        </x14:dataValidation>
        <x14:dataValidation type="list" allowBlank="1" showInputMessage="1" showErrorMessage="1" errorTitle="Valor de lista" error="Email Principal #3 debe estar seleccionado en la lista desplegable." promptTitle="Conjunto de opciones" prompt="Seleccione un valor de la lista desplegable." xr:uid="{00000000-0002-0000-0000-000044000000}">
          <x14:formula1>
            <xm:f>hiddenSheet!$A$35:$B$35</xm:f>
          </x14:formula1>
          <xm:sqref>CP2:CP1048576</xm:sqref>
        </x14:dataValidation>
        <x14:dataValidation type="list" allowBlank="1" showInputMessage="1" showErrorMessage="1" errorTitle="Valor de lista" error="Email Principal #4 debe estar seleccionado en la lista desplegable." promptTitle="Conjunto de opciones" prompt="Seleccione un valor de la lista desplegable." xr:uid="{00000000-0002-0000-0000-000045000000}">
          <x14:formula1>
            <xm:f>hiddenSheet!$A$36:$B$36</xm:f>
          </x14:formula1>
          <xm:sqref>CQ2:CQ1048576</xm:sqref>
        </x14:dataValidation>
        <x14:dataValidation type="list" allowBlank="1" showInputMessage="1" showErrorMessage="1" errorTitle="Valor de lista" error="Email Principal #5 debe estar seleccionado en la lista desplegable." promptTitle="Conjunto de opciones" prompt="Seleccione un valor de la lista desplegable." xr:uid="{00000000-0002-0000-0000-000046000000}">
          <x14:formula1>
            <xm:f>hiddenSheet!$A$37:$B$37</xm:f>
          </x14:formula1>
          <xm:sqref>CR2:CR1048576</xm:sqref>
        </x14:dataValidation>
        <x14:dataValidation type="list" allowBlank="1" showInputMessage="1" showErrorMessage="1" errorTitle="Valor de lista" error="Área debe estar seleccionado en la lista desplegable." promptTitle="Conjunto de opciones" prompt="Seleccione un valor de la lista desplegable." xr:uid="{00000000-0002-0000-0000-000047000000}">
          <x14:formula1>
            <xm:f>hiddenSheet!$A$38:$H$38</xm:f>
          </x14:formula1>
          <xm:sqref>CU2:CU1048576</xm:sqref>
        </x14:dataValidation>
        <x14:dataValidation type="list" allowBlank="1" showInputMessage="1" showErrorMessage="1" errorTitle="Valor de lista" error="Categoría del cargo debe estar seleccionado en la lista desplegable." promptTitle="Conjunto de opciones" prompt="Seleccione un valor de la lista desplegable." xr:uid="{00000000-0002-0000-0000-000048000000}">
          <x14:formula1>
            <xm:f>hiddenSheet!$A$42:$AA$42</xm:f>
          </x14:formula1>
          <xm:sqref>DF2:DF1048576</xm:sqref>
        </x14:dataValidation>
        <x14:dataValidation type="list" allowBlank="1" showInputMessage="1" showErrorMessage="1" errorTitle="Valor de lista" error="Área funcional debe estar seleccionado en la lista desplegable." promptTitle="Conjunto de opciones" prompt="Seleccione un valor de la lista desplegable." xr:uid="{00000000-0002-0000-0000-000049000000}">
          <x14:formula1>
            <xm:f>hiddenSheet!$A$43:$AB$43</xm:f>
          </x14:formula1>
          <xm:sqref>DG2:DG1048576</xm:sqref>
        </x14:dataValidation>
        <x14:dataValidation type="list" allowBlank="1" showInputMessage="1" showErrorMessage="1" errorTitle="Valor de lista" error="Tipo de dirección debe estar seleccionado en la lista desplegable." promptTitle="Conjunto de opciones" prompt="Seleccione un valor de la lista desplegable." xr:uid="{00000000-0002-0000-0000-00004A000000}">
          <x14:formula1>
            <xm:f>hiddenSheet!$A$44:$I$44</xm:f>
          </x14:formula1>
          <xm:sqref>DL2:DL1048576</xm:sqref>
        </x14:dataValidation>
        <x14:dataValidation type="list" allowBlank="1" showInputMessage="1" showErrorMessage="1" errorTitle="Valor de lista" error="Prefijo dirección debe estar seleccionado en la lista desplegable." promptTitle="Conjunto de opciones" prompt="Seleccione un valor de la lista desplegable." xr:uid="{00000000-0002-0000-0000-00004B000000}">
          <x14:formula1>
            <xm:f>hiddenSheet!$A$45:$P$45</xm:f>
          </x14:formula1>
          <xm:sqref>DM2:DM1048576</xm:sqref>
        </x14:dataValidation>
        <x14:dataValidation type="list" allowBlank="1" showInputMessage="1" showErrorMessage="1" errorTitle="Valor de lista" error="Prefijo localidad debe estar seleccionado en la lista desplegable." promptTitle="Conjunto de opciones" prompt="Seleccione un valor de la lista desplegable." xr:uid="{00000000-0002-0000-0000-00004C000000}">
          <x14:formula1>
            <xm:f>hiddenSheet!$A$46:$O$46</xm:f>
          </x14:formula1>
          <xm:sqref>DN2:DN1048576</xm:sqref>
        </x14:dataValidation>
        <x14:dataValidation type="list" allowBlank="1" showInputMessage="1" showErrorMessage="1" errorTitle="Valor de lista" error="Medio debe estar seleccionado en la lista desplegable." promptTitle="Conjunto de opciones" prompt="Seleccione un valor de la lista desplegable." xr:uid="{00000000-0002-0000-0000-00004E000000}">
          <x14:formula1>
            <xm:f>hiddenSheet!$A$48:$N$48</xm:f>
          </x14:formula1>
          <xm:sqref>DT2:DT1048576</xm:sqref>
        </x14:dataValidation>
        <x14:dataValidation type="list" allowBlank="1" showInputMessage="1" showErrorMessage="1" errorTitle="Valor de lista" error="Medio específico debe estar seleccionado en la lista desplegable." promptTitle="Conjunto de opciones" prompt="Seleccione un valor de la lista desplegable." xr:uid="{00000000-0002-0000-0000-00004F000000}">
          <x14:formula1>
            <xm:f>hiddenSheet!$A$49:$DR$49</xm:f>
          </x14:formula1>
          <xm:sqref>DU2:DU1048576</xm:sqref>
        </x14:dataValidation>
        <x14:dataValidation type="list" allowBlank="1" showInputMessage="1" showErrorMessage="1" errorTitle="Valor de lista" error="Tipo de documento Relacionado debe estar seleccionado en la lista desplegable." promptTitle="Conjunto de opciones" prompt="Seleccione un valor de la lista desplegable." xr:uid="{00000000-0002-0000-0000-000050000000}">
          <x14:formula1>
            <xm:f>hiddenSheet!$A$50:$J$50</xm:f>
          </x14:formula1>
          <xm:sqref>DX2:DX1048576</xm:sqref>
        </x14:dataValidation>
        <x14:dataValidation type="list" allowBlank="1" showInputMessage="1" showErrorMessage="1" errorTitle="Valor de lista" error="Tipo correo electrónico #1 relacionado debe estar seleccionado en la lista desplegable." promptTitle="Conjunto de opciones" prompt="Seleccione un valor de la lista desplegable." xr:uid="{00000000-0002-0000-0000-000051000000}">
          <x14:formula1>
            <xm:f>hiddenSheet!$A$63:$J$63</xm:f>
          </x14:formula1>
          <xm:sqref>EU2:EU1048576</xm:sqref>
        </x14:dataValidation>
        <x14:dataValidation type="list" allowBlank="1" showInputMessage="1" showErrorMessage="1" errorTitle="Valor de lista" error="Tipo correo electrónico #2 relacionado debe estar seleccionado en la lista desplegable." promptTitle="Conjunto de opciones" prompt="Seleccione un valor de la lista desplegable." xr:uid="{00000000-0002-0000-0000-000052000000}">
          <x14:formula1>
            <xm:f>hiddenSheet!$A$64:$J$64</xm:f>
          </x14:formula1>
          <xm:sqref>EV2:EV1048576</xm:sqref>
        </x14:dataValidation>
        <x14:dataValidation type="list" allowBlank="1" showInputMessage="1" showErrorMessage="1" errorTitle="Valor de lista" error="Email Principal #1 Relacionado debe estar seleccionado en la lista desplegable." promptTitle="Conjunto de opciones" prompt="Seleccione un valor de la lista desplegable." xr:uid="{00000000-0002-0000-0000-000053000000}">
          <x14:formula1>
            <xm:f>hiddenSheet!$A$65:$B$65</xm:f>
          </x14:formula1>
          <xm:sqref>EW2:EW1048576</xm:sqref>
        </x14:dataValidation>
        <x14:dataValidation type="list" allowBlank="1" showInputMessage="1" showErrorMessage="1" errorTitle="Valor de lista" error="Email Principal #2 Relacionado debe estar seleccionado en la lista desplegable." promptTitle="Conjunto de opciones" prompt="Seleccione un valor de la lista desplegable." xr:uid="{00000000-0002-0000-0000-000054000000}">
          <x14:formula1>
            <xm:f>hiddenSheet!$A$66:$B$66</xm:f>
          </x14:formula1>
          <xm:sqref>EX2:EX1048576</xm:sqref>
        </x14:dataValidation>
        <x14:dataValidation type="list" showInputMessage="1" showErrorMessage="1" errorTitle="Valor de lista" error="Estado debe estar seleccionado en la lista desplegable." promptTitle="Conjunto de opciones (se requiere)" prompt="Seleccione un valor de la lista desplegable." xr:uid="{00000000-0002-0000-0000-000055000000}">
          <x14:formula1>
            <xm:f>hiddenSheet!$A$67:$B$67</xm:f>
          </x14:formula1>
          <xm:sqref>FA2:FA1048576</xm:sqref>
        </x14:dataValidation>
        <x14:dataValidation type="list" allowBlank="1" showInputMessage="1" showErrorMessage="1" errorTitle="Valor de lista" error="Grado Académico debe estar seleccionado en la lista desplegable." promptTitle="Conjunto de opciones" prompt="Seleccione un valor de la lista desplegable." xr:uid="{00000000-0002-0000-0000-000057000000}">
          <x14:formula1>
            <xm:f>hiddenSheet!$A$39:$D$39</xm:f>
          </x14:formula1>
          <xm:sqref>CW2:CW1048576</xm:sqref>
        </x14:dataValidation>
        <x14:dataValidation type="list" allowBlank="1" showInputMessage="1" showErrorMessage="1" errorTitle="Valor de lista" error="Bachillerato debe estar seleccionado en la lista desplegable." promptTitle="Conjunto de opciones" prompt="Seleccione un valor de la lista desplegable." xr:uid="{00000000-0002-0000-0000-000058000000}">
          <x14:formula1>
            <xm:f>hiddenSheet!$A$41:$D$41</xm:f>
          </x14:formula1>
          <xm:sqref>CY2:CY1048576</xm:sqref>
        </x14:dataValidation>
        <x14:dataValidation type="list" allowBlank="1" showInputMessage="1" showErrorMessage="1" errorTitle="Valor de lista" error="Fuente Relacionado debe estar seleccionado en la lista desplegable." promptTitle="Conjunto de opciones" prompt="Seleccione un valor de la lista desplegable." xr:uid="{00000000-0002-0000-0000-000059000000}">
          <x14:formula1>
            <xm:f>hiddenSheet!$A$52:$R$52</xm:f>
          </x14:formula1>
          <xm:sqref>EE2:EE1048576</xm:sqref>
        </x14:dataValidation>
        <x14:dataValidation type="list" allowBlank="1" showInputMessage="1" showErrorMessage="1" errorTitle="Valor de lista" error="Indicador conexiones familiar debe estar seleccionado en la lista desplegable." promptTitle="Conjunto de opciones" prompt="Seleccione un valor de la lista desplegable." xr:uid="{00000000-0002-0000-0000-00005A000000}">
          <x14:formula1>
            <xm:f>hiddenSheet!$A$53:$B$53</xm:f>
          </x14:formula1>
          <xm:sqref>EG2:EG1048576</xm:sqref>
        </x14:dataValidation>
        <x14:dataValidation type="list" allowBlank="1" showInputMessage="1" showErrorMessage="1" errorTitle="Valor de lista" error="Indicar asistencia a evento Relacionado debe estar seleccionado en la lista desplegable." promptTitle="Conjunto de opciones" prompt="Seleccione un valor de la lista desplegable." xr:uid="{00000000-0002-0000-0000-00005C000000}">
          <x14:formula1>
            <xm:f>hiddenSheet!$A$55:$B$55</xm:f>
          </x14:formula1>
          <xm:sqref>EI2:EI1048576</xm:sqref>
        </x14:dataValidation>
        <x14:dataValidation type="list" allowBlank="1" showInputMessage="1" showErrorMessage="1" errorTitle="Valor de lista" error="Inscrito Relacionado debe estar seleccionado en la lista desplegable." promptTitle="Conjunto de opciones" prompt="Seleccione un valor de la lista desplegable." xr:uid="{00000000-0002-0000-0000-00005D000000}">
          <x14:formula1>
            <xm:f>hiddenSheet!$A$56:$B$56</xm:f>
          </x14:formula1>
          <xm:sqref>EJ2:EJ1048576</xm:sqref>
        </x14:dataValidation>
        <x14:dataValidation type="list" allowBlank="1" showInputMessage="1" showErrorMessage="1" errorTitle="Valor de lista" error="Asistio Relacionado debe estar seleccionado en la lista desplegable." promptTitle="Conjunto de opciones" prompt="Seleccione un valor de la lista desplegable." xr:uid="{00000000-0002-0000-0000-00005E000000}">
          <x14:formula1>
            <xm:f>hiddenSheet!$A$57:$B$57</xm:f>
          </x14:formula1>
          <xm:sqref>EK2:EK1048576</xm:sqref>
        </x14:dataValidation>
        <x14:dataValidation type="list" allowBlank="1" showInputMessage="1" showErrorMessage="1" errorTitle="Valor de lista" error="Fuente asistencia relacionado debe estar seleccionado en la lista desplegable." promptTitle="Conjunto de opciones" prompt="Seleccione un valor de la lista desplegable." xr:uid="{00000000-0002-0000-0000-00005F000000}">
          <x14:formula1>
            <xm:f>hiddenSheet!$A$58:$I$58</xm:f>
          </x14:formula1>
          <xm:sqref>EL2:EL1048576</xm:sqref>
        </x14:dataValidation>
        <x14:dataValidation type="list" allowBlank="1" showInputMessage="1" showErrorMessage="1" errorTitle="Valor de lista" error="Tipo de relación debe estar seleccionado en la lista desplegable." promptTitle="Conjunto de opciones" prompt="Seleccione un valor de la lista desplegable." xr:uid="{00000000-0002-0000-0000-00005B000000}">
          <x14:formula1>
            <xm:f>hiddenSheet!$A$54:$H$54</xm:f>
          </x14:formula1>
          <xm:sqref>EH2:EH1048576</xm:sqref>
        </x14:dataValidation>
        <x14:dataValidation type="list" allowBlank="1" showInputMessage="1" showErrorMessage="1" errorTitle="Valor de lista" error="Fuente debe estar seleccionado en la lista desplegable." promptTitle="Conjunto de opciones" prompt="Seleccione un valor de la lista desplegable." xr:uid="{00000000-0002-0000-0000-00004D000000}">
          <x14:formula1>
            <xm:f>hiddenSheet!$A$47:$R$47</xm:f>
          </x14:formula1>
          <xm:sqref>DS2:DS1048576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D2CD9-6B62-46D2-90CC-98B7BA178073}">
  <sheetPr codeName="Hoja1"/>
  <dimension ref="A1:C223"/>
  <sheetViews>
    <sheetView topLeftCell="A189" workbookViewId="0">
      <selection activeCell="C1" sqref="C1:C223"/>
    </sheetView>
  </sheetViews>
  <sheetFormatPr baseColWidth="10" defaultRowHeight="15" x14ac:dyDescent="0.25"/>
  <cols>
    <col min="1" max="1" width="12.85546875" bestFit="1" customWidth="1"/>
    <col min="3" max="3" width="21.7109375" bestFit="1" customWidth="1"/>
  </cols>
  <sheetData>
    <row r="1" spans="1:3" x14ac:dyDescent="0.25">
      <c r="A1" t="s">
        <v>241</v>
      </c>
      <c r="B1" t="s">
        <v>504</v>
      </c>
      <c r="C1" t="str">
        <f>CONCATENATE(A1," - ",B1)</f>
        <v>4° Secundaria - 1508019</v>
      </c>
    </row>
    <row r="2" spans="1:3" x14ac:dyDescent="0.25">
      <c r="A2" t="s">
        <v>241</v>
      </c>
      <c r="B2" t="s">
        <v>504</v>
      </c>
      <c r="C2" t="str">
        <f t="shared" ref="C2:C65" si="0">CONCATENATE(A2," - ",B2)</f>
        <v>4° Secundaria - 1508019</v>
      </c>
    </row>
    <row r="3" spans="1:3" x14ac:dyDescent="0.25">
      <c r="A3" t="s">
        <v>241</v>
      </c>
      <c r="B3" t="s">
        <v>504</v>
      </c>
      <c r="C3" t="str">
        <f t="shared" si="0"/>
        <v>4° Secundaria - 1508019</v>
      </c>
    </row>
    <row r="4" spans="1:3" x14ac:dyDescent="0.25">
      <c r="A4" t="s">
        <v>241</v>
      </c>
      <c r="B4" t="s">
        <v>504</v>
      </c>
      <c r="C4" t="str">
        <f t="shared" si="0"/>
        <v>4° Secundaria - 1508019</v>
      </c>
    </row>
    <row r="5" spans="1:3" x14ac:dyDescent="0.25">
      <c r="A5" t="s">
        <v>241</v>
      </c>
      <c r="B5" t="s">
        <v>504</v>
      </c>
      <c r="C5" t="str">
        <f t="shared" si="0"/>
        <v>4° Secundaria - 1508019</v>
      </c>
    </row>
    <row r="6" spans="1:3" x14ac:dyDescent="0.25">
      <c r="A6" t="s">
        <v>241</v>
      </c>
      <c r="B6" t="s">
        <v>504</v>
      </c>
      <c r="C6" t="str">
        <f t="shared" si="0"/>
        <v>4° Secundaria - 1508019</v>
      </c>
    </row>
    <row r="7" spans="1:3" x14ac:dyDescent="0.25">
      <c r="A7" t="s">
        <v>241</v>
      </c>
      <c r="B7" t="s">
        <v>504</v>
      </c>
      <c r="C7" t="str">
        <f t="shared" si="0"/>
        <v>4° Secundaria - 1508019</v>
      </c>
    </row>
    <row r="8" spans="1:3" x14ac:dyDescent="0.25">
      <c r="A8" t="s">
        <v>241</v>
      </c>
      <c r="B8" t="s">
        <v>504</v>
      </c>
      <c r="C8" t="str">
        <f t="shared" si="0"/>
        <v>4° Secundaria - 1508019</v>
      </c>
    </row>
    <row r="9" spans="1:3" x14ac:dyDescent="0.25">
      <c r="A9" t="s">
        <v>241</v>
      </c>
      <c r="B9" t="s">
        <v>504</v>
      </c>
      <c r="C9" t="str">
        <f t="shared" si="0"/>
        <v>4° Secundaria - 1508019</v>
      </c>
    </row>
    <row r="10" spans="1:3" x14ac:dyDescent="0.25">
      <c r="A10" t="s">
        <v>241</v>
      </c>
      <c r="B10" t="s">
        <v>504</v>
      </c>
      <c r="C10" t="str">
        <f t="shared" si="0"/>
        <v>4° Secundaria - 1508019</v>
      </c>
    </row>
    <row r="11" spans="1:3" x14ac:dyDescent="0.25">
      <c r="A11" t="s">
        <v>241</v>
      </c>
      <c r="B11" t="s">
        <v>504</v>
      </c>
      <c r="C11" t="str">
        <f t="shared" si="0"/>
        <v>4° Secundaria - 1508019</v>
      </c>
    </row>
    <row r="12" spans="1:3" x14ac:dyDescent="0.25">
      <c r="A12" t="s">
        <v>241</v>
      </c>
      <c r="B12" t="s">
        <v>504</v>
      </c>
      <c r="C12" t="str">
        <f t="shared" si="0"/>
        <v>4° Secundaria - 1508019</v>
      </c>
    </row>
    <row r="13" spans="1:3" x14ac:dyDescent="0.25">
      <c r="A13" t="s">
        <v>241</v>
      </c>
      <c r="B13" t="s">
        <v>504</v>
      </c>
      <c r="C13" t="str">
        <f t="shared" si="0"/>
        <v>4° Secundaria - 1508019</v>
      </c>
    </row>
    <row r="14" spans="1:3" x14ac:dyDescent="0.25">
      <c r="A14" t="s">
        <v>241</v>
      </c>
      <c r="B14" t="s">
        <v>504</v>
      </c>
      <c r="C14" t="str">
        <f t="shared" si="0"/>
        <v>4° Secundaria - 1508019</v>
      </c>
    </row>
    <row r="15" spans="1:3" x14ac:dyDescent="0.25">
      <c r="A15" t="s">
        <v>241</v>
      </c>
      <c r="B15" t="s">
        <v>504</v>
      </c>
      <c r="C15" t="str">
        <f t="shared" si="0"/>
        <v>4° Secundaria - 1508019</v>
      </c>
    </row>
    <row r="16" spans="1:3" x14ac:dyDescent="0.25">
      <c r="A16" t="s">
        <v>241</v>
      </c>
      <c r="B16" t="s">
        <v>504</v>
      </c>
      <c r="C16" t="str">
        <f t="shared" si="0"/>
        <v>4° Secundaria - 1508019</v>
      </c>
    </row>
    <row r="17" spans="1:3" x14ac:dyDescent="0.25">
      <c r="A17" t="s">
        <v>241</v>
      </c>
      <c r="B17" t="s">
        <v>504</v>
      </c>
      <c r="C17" t="str">
        <f t="shared" si="0"/>
        <v>4° Secundaria - 1508019</v>
      </c>
    </row>
    <row r="18" spans="1:3" x14ac:dyDescent="0.25">
      <c r="A18" t="s">
        <v>241</v>
      </c>
      <c r="B18" t="s">
        <v>504</v>
      </c>
      <c r="C18" t="str">
        <f t="shared" si="0"/>
        <v>4° Secundaria - 1508019</v>
      </c>
    </row>
    <row r="19" spans="1:3" x14ac:dyDescent="0.25">
      <c r="A19" t="s">
        <v>241</v>
      </c>
      <c r="B19" t="s">
        <v>504</v>
      </c>
      <c r="C19" t="str">
        <f t="shared" si="0"/>
        <v>4° Secundaria - 1508019</v>
      </c>
    </row>
    <row r="20" spans="1:3" x14ac:dyDescent="0.25">
      <c r="A20" t="s">
        <v>241</v>
      </c>
      <c r="B20" t="s">
        <v>504</v>
      </c>
      <c r="C20" t="str">
        <f t="shared" si="0"/>
        <v>4° Secundaria - 1508019</v>
      </c>
    </row>
    <row r="21" spans="1:3" x14ac:dyDescent="0.25">
      <c r="A21" t="s">
        <v>241</v>
      </c>
      <c r="B21" t="s">
        <v>504</v>
      </c>
      <c r="C21" t="str">
        <f t="shared" si="0"/>
        <v>4° Secundaria - 1508019</v>
      </c>
    </row>
    <row r="22" spans="1:3" x14ac:dyDescent="0.25">
      <c r="A22" t="s">
        <v>241</v>
      </c>
      <c r="B22" t="s">
        <v>504</v>
      </c>
      <c r="C22" t="str">
        <f t="shared" si="0"/>
        <v>4° Secundaria - 1508019</v>
      </c>
    </row>
    <row r="23" spans="1:3" x14ac:dyDescent="0.25">
      <c r="A23" t="s">
        <v>241</v>
      </c>
      <c r="B23" t="s">
        <v>504</v>
      </c>
      <c r="C23" t="str">
        <f t="shared" si="0"/>
        <v>4° Secundaria - 1508019</v>
      </c>
    </row>
    <row r="24" spans="1:3" x14ac:dyDescent="0.25">
      <c r="A24" t="s">
        <v>241</v>
      </c>
      <c r="B24" t="s">
        <v>504</v>
      </c>
      <c r="C24" t="str">
        <f t="shared" si="0"/>
        <v>4° Secundaria - 1508019</v>
      </c>
    </row>
    <row r="25" spans="1:3" x14ac:dyDescent="0.25">
      <c r="A25" t="s">
        <v>241</v>
      </c>
      <c r="B25" t="s">
        <v>504</v>
      </c>
      <c r="C25" t="str">
        <f t="shared" si="0"/>
        <v>4° Secundaria - 1508019</v>
      </c>
    </row>
    <row r="26" spans="1:3" x14ac:dyDescent="0.25">
      <c r="A26" t="s">
        <v>241</v>
      </c>
      <c r="B26" t="s">
        <v>504</v>
      </c>
      <c r="C26" t="str">
        <f t="shared" si="0"/>
        <v>4° Secundaria - 1508019</v>
      </c>
    </row>
    <row r="27" spans="1:3" x14ac:dyDescent="0.25">
      <c r="A27" t="s">
        <v>241</v>
      </c>
      <c r="B27" t="s">
        <v>504</v>
      </c>
      <c r="C27" t="str">
        <f t="shared" si="0"/>
        <v>4° Secundaria - 1508019</v>
      </c>
    </row>
    <row r="28" spans="1:3" x14ac:dyDescent="0.25">
      <c r="A28" t="s">
        <v>241</v>
      </c>
      <c r="B28" t="s">
        <v>504</v>
      </c>
      <c r="C28" t="str">
        <f t="shared" si="0"/>
        <v>4° Secundaria - 1508019</v>
      </c>
    </row>
    <row r="29" spans="1:3" x14ac:dyDescent="0.25">
      <c r="A29" t="s">
        <v>241</v>
      </c>
      <c r="B29" t="s">
        <v>504</v>
      </c>
      <c r="C29" t="str">
        <f t="shared" si="0"/>
        <v>4° Secundaria - 1508019</v>
      </c>
    </row>
    <row r="30" spans="1:3" x14ac:dyDescent="0.25">
      <c r="A30" t="s">
        <v>241</v>
      </c>
      <c r="B30" t="s">
        <v>504</v>
      </c>
      <c r="C30" t="str">
        <f t="shared" si="0"/>
        <v>4° Secundaria - 1508019</v>
      </c>
    </row>
    <row r="31" spans="1:3" x14ac:dyDescent="0.25">
      <c r="A31" t="s">
        <v>241</v>
      </c>
      <c r="B31" t="s">
        <v>504</v>
      </c>
      <c r="C31" t="str">
        <f t="shared" si="0"/>
        <v>4° Secundaria - 1508019</v>
      </c>
    </row>
    <row r="32" spans="1:3" x14ac:dyDescent="0.25">
      <c r="A32" t="s">
        <v>241</v>
      </c>
      <c r="B32" t="s">
        <v>504</v>
      </c>
      <c r="C32" t="str">
        <f t="shared" si="0"/>
        <v>4° Secundaria - 1508019</v>
      </c>
    </row>
    <row r="33" spans="1:3" x14ac:dyDescent="0.25">
      <c r="A33" t="s">
        <v>241</v>
      </c>
      <c r="B33" t="s">
        <v>504</v>
      </c>
      <c r="C33" t="str">
        <f t="shared" si="0"/>
        <v>4° Secundaria - 1508019</v>
      </c>
    </row>
    <row r="34" spans="1:3" x14ac:dyDescent="0.25">
      <c r="A34" t="s">
        <v>241</v>
      </c>
      <c r="B34" t="s">
        <v>504</v>
      </c>
      <c r="C34" t="str">
        <f t="shared" si="0"/>
        <v>4° Secundaria - 1508019</v>
      </c>
    </row>
    <row r="35" spans="1:3" x14ac:dyDescent="0.25">
      <c r="A35" t="s">
        <v>241</v>
      </c>
      <c r="B35" t="s">
        <v>504</v>
      </c>
      <c r="C35" t="str">
        <f t="shared" si="0"/>
        <v>4° Secundaria - 1508019</v>
      </c>
    </row>
    <row r="36" spans="1:3" x14ac:dyDescent="0.25">
      <c r="A36" t="s">
        <v>241</v>
      </c>
      <c r="B36" t="s">
        <v>504</v>
      </c>
      <c r="C36" t="str">
        <f t="shared" si="0"/>
        <v>4° Secundaria - 1508019</v>
      </c>
    </row>
    <row r="37" spans="1:3" x14ac:dyDescent="0.25">
      <c r="A37" t="s">
        <v>241</v>
      </c>
      <c r="B37" t="s">
        <v>504</v>
      </c>
      <c r="C37" t="str">
        <f t="shared" si="0"/>
        <v>4° Secundaria - 1508019</v>
      </c>
    </row>
    <row r="38" spans="1:3" x14ac:dyDescent="0.25">
      <c r="A38" t="s">
        <v>241</v>
      </c>
      <c r="B38" t="s">
        <v>504</v>
      </c>
      <c r="C38" t="str">
        <f t="shared" si="0"/>
        <v>4° Secundaria - 1508019</v>
      </c>
    </row>
    <row r="39" spans="1:3" x14ac:dyDescent="0.25">
      <c r="A39" t="s">
        <v>241</v>
      </c>
      <c r="B39" t="s">
        <v>504</v>
      </c>
      <c r="C39" t="str">
        <f t="shared" si="0"/>
        <v>4° Secundaria - 1508019</v>
      </c>
    </row>
    <row r="40" spans="1:3" x14ac:dyDescent="0.25">
      <c r="A40" t="s">
        <v>241</v>
      </c>
      <c r="B40" t="s">
        <v>504</v>
      </c>
      <c r="C40" t="str">
        <f t="shared" si="0"/>
        <v>4° Secundaria - 1508019</v>
      </c>
    </row>
    <row r="41" spans="1:3" x14ac:dyDescent="0.25">
      <c r="A41" t="s">
        <v>241</v>
      </c>
      <c r="B41" t="s">
        <v>504</v>
      </c>
      <c r="C41" t="str">
        <f t="shared" si="0"/>
        <v>4° Secundaria - 1508019</v>
      </c>
    </row>
    <row r="42" spans="1:3" x14ac:dyDescent="0.25">
      <c r="A42" t="s">
        <v>241</v>
      </c>
      <c r="B42" t="s">
        <v>504</v>
      </c>
      <c r="C42" t="str">
        <f t="shared" si="0"/>
        <v>4° Secundaria - 1508019</v>
      </c>
    </row>
    <row r="43" spans="1:3" x14ac:dyDescent="0.25">
      <c r="A43" t="s">
        <v>241</v>
      </c>
      <c r="B43" t="s">
        <v>504</v>
      </c>
      <c r="C43" t="str">
        <f t="shared" si="0"/>
        <v>4° Secundaria - 1508019</v>
      </c>
    </row>
    <row r="44" spans="1:3" x14ac:dyDescent="0.25">
      <c r="A44" t="s">
        <v>241</v>
      </c>
      <c r="B44" t="s">
        <v>504</v>
      </c>
      <c r="C44" t="str">
        <f t="shared" si="0"/>
        <v>4° Secundaria - 1508019</v>
      </c>
    </row>
    <row r="45" spans="1:3" x14ac:dyDescent="0.25">
      <c r="A45" t="s">
        <v>241</v>
      </c>
      <c r="B45" t="s">
        <v>504</v>
      </c>
      <c r="C45" t="str">
        <f t="shared" si="0"/>
        <v>4° Secundaria - 1508019</v>
      </c>
    </row>
    <row r="46" spans="1:3" x14ac:dyDescent="0.25">
      <c r="A46" t="s">
        <v>241</v>
      </c>
      <c r="B46" t="s">
        <v>504</v>
      </c>
      <c r="C46" t="str">
        <f t="shared" si="0"/>
        <v>4° Secundaria - 1508019</v>
      </c>
    </row>
    <row r="47" spans="1:3" x14ac:dyDescent="0.25">
      <c r="A47" t="s">
        <v>241</v>
      </c>
      <c r="B47" t="s">
        <v>504</v>
      </c>
      <c r="C47" t="str">
        <f t="shared" si="0"/>
        <v>4° Secundaria - 1508019</v>
      </c>
    </row>
    <row r="48" spans="1:3" x14ac:dyDescent="0.25">
      <c r="A48" t="s">
        <v>241</v>
      </c>
      <c r="B48" t="s">
        <v>504</v>
      </c>
      <c r="C48" t="str">
        <f t="shared" si="0"/>
        <v>4° Secundaria - 1508019</v>
      </c>
    </row>
    <row r="49" spans="1:3" x14ac:dyDescent="0.25">
      <c r="A49" t="s">
        <v>241</v>
      </c>
      <c r="B49" t="s">
        <v>504</v>
      </c>
      <c r="C49" t="str">
        <f t="shared" si="0"/>
        <v>4° Secundaria - 1508019</v>
      </c>
    </row>
    <row r="50" spans="1:3" x14ac:dyDescent="0.25">
      <c r="A50" t="s">
        <v>241</v>
      </c>
      <c r="B50" t="s">
        <v>504</v>
      </c>
      <c r="C50" t="str">
        <f t="shared" si="0"/>
        <v>4° Secundaria - 1508019</v>
      </c>
    </row>
    <row r="51" spans="1:3" x14ac:dyDescent="0.25">
      <c r="A51" t="s">
        <v>241</v>
      </c>
      <c r="B51" t="s">
        <v>504</v>
      </c>
      <c r="C51" t="str">
        <f t="shared" si="0"/>
        <v>4° Secundaria - 1508019</v>
      </c>
    </row>
    <row r="52" spans="1:3" x14ac:dyDescent="0.25">
      <c r="A52" t="s">
        <v>241</v>
      </c>
      <c r="B52" t="s">
        <v>504</v>
      </c>
      <c r="C52" t="str">
        <f t="shared" si="0"/>
        <v>4° Secundaria - 1508019</v>
      </c>
    </row>
    <row r="53" spans="1:3" x14ac:dyDescent="0.25">
      <c r="A53" t="s">
        <v>241</v>
      </c>
      <c r="B53" t="s">
        <v>504</v>
      </c>
      <c r="C53" t="str">
        <f t="shared" si="0"/>
        <v>4° Secundaria - 1508019</v>
      </c>
    </row>
    <row r="54" spans="1:3" x14ac:dyDescent="0.25">
      <c r="A54" t="s">
        <v>241</v>
      </c>
      <c r="B54" t="s">
        <v>504</v>
      </c>
      <c r="C54" t="str">
        <f t="shared" si="0"/>
        <v>4° Secundaria - 1508019</v>
      </c>
    </row>
    <row r="55" spans="1:3" x14ac:dyDescent="0.25">
      <c r="A55" t="s">
        <v>241</v>
      </c>
      <c r="B55" t="s">
        <v>504</v>
      </c>
      <c r="C55" t="str">
        <f t="shared" si="0"/>
        <v>4° Secundaria - 1508019</v>
      </c>
    </row>
    <row r="56" spans="1:3" x14ac:dyDescent="0.25">
      <c r="A56" t="s">
        <v>241</v>
      </c>
      <c r="B56" t="s">
        <v>504</v>
      </c>
      <c r="C56" t="str">
        <f t="shared" si="0"/>
        <v>4° Secundaria - 1508019</v>
      </c>
    </row>
    <row r="57" spans="1:3" x14ac:dyDescent="0.25">
      <c r="A57" t="s">
        <v>241</v>
      </c>
      <c r="B57" t="s">
        <v>504</v>
      </c>
      <c r="C57" t="str">
        <f t="shared" si="0"/>
        <v>4° Secundaria - 1508019</v>
      </c>
    </row>
    <row r="58" spans="1:3" x14ac:dyDescent="0.25">
      <c r="A58" t="s">
        <v>241</v>
      </c>
      <c r="B58" t="s">
        <v>504</v>
      </c>
      <c r="C58" t="str">
        <f t="shared" si="0"/>
        <v>4° Secundaria - 1508019</v>
      </c>
    </row>
    <row r="59" spans="1:3" x14ac:dyDescent="0.25">
      <c r="A59" t="s">
        <v>241</v>
      </c>
      <c r="B59" t="s">
        <v>504</v>
      </c>
      <c r="C59" t="str">
        <f t="shared" si="0"/>
        <v>4° Secundaria - 1508019</v>
      </c>
    </row>
    <row r="60" spans="1:3" x14ac:dyDescent="0.25">
      <c r="A60" t="s">
        <v>241</v>
      </c>
      <c r="B60" t="s">
        <v>504</v>
      </c>
      <c r="C60" t="str">
        <f t="shared" si="0"/>
        <v>4° Secundaria - 1508019</v>
      </c>
    </row>
    <row r="61" spans="1:3" x14ac:dyDescent="0.25">
      <c r="A61" t="s">
        <v>241</v>
      </c>
      <c r="B61" t="s">
        <v>504</v>
      </c>
      <c r="C61" t="str">
        <f t="shared" si="0"/>
        <v>4° Secundaria - 1508019</v>
      </c>
    </row>
    <row r="62" spans="1:3" x14ac:dyDescent="0.25">
      <c r="A62" t="s">
        <v>241</v>
      </c>
      <c r="B62" t="s">
        <v>504</v>
      </c>
      <c r="C62" t="str">
        <f t="shared" si="0"/>
        <v>4° Secundaria - 1508019</v>
      </c>
    </row>
    <row r="63" spans="1:3" x14ac:dyDescent="0.25">
      <c r="A63" t="s">
        <v>241</v>
      </c>
      <c r="B63" t="s">
        <v>504</v>
      </c>
      <c r="C63" t="str">
        <f t="shared" si="0"/>
        <v>4° Secundaria - 1508019</v>
      </c>
    </row>
    <row r="64" spans="1:3" x14ac:dyDescent="0.25">
      <c r="A64" t="s">
        <v>241</v>
      </c>
      <c r="B64" t="s">
        <v>504</v>
      </c>
      <c r="C64" t="str">
        <f t="shared" si="0"/>
        <v>4° Secundaria - 1508019</v>
      </c>
    </row>
    <row r="65" spans="1:3" x14ac:dyDescent="0.25">
      <c r="A65" t="s">
        <v>241</v>
      </c>
      <c r="B65" t="s">
        <v>504</v>
      </c>
      <c r="C65" t="str">
        <f t="shared" si="0"/>
        <v>4° Secundaria - 1508019</v>
      </c>
    </row>
    <row r="66" spans="1:3" x14ac:dyDescent="0.25">
      <c r="A66" t="s">
        <v>241</v>
      </c>
      <c r="B66" t="s">
        <v>504</v>
      </c>
      <c r="C66" t="str">
        <f t="shared" ref="C66:C129" si="1">CONCATENATE(A66," - ",B66)</f>
        <v>4° Secundaria - 1508019</v>
      </c>
    </row>
    <row r="67" spans="1:3" x14ac:dyDescent="0.25">
      <c r="A67" t="s">
        <v>241</v>
      </c>
      <c r="B67" t="s">
        <v>504</v>
      </c>
      <c r="C67" t="str">
        <f t="shared" si="1"/>
        <v>4° Secundaria - 1508019</v>
      </c>
    </row>
    <row r="68" spans="1:3" x14ac:dyDescent="0.25">
      <c r="A68" t="s">
        <v>241</v>
      </c>
      <c r="B68" t="s">
        <v>504</v>
      </c>
      <c r="C68" t="str">
        <f t="shared" si="1"/>
        <v>4° Secundaria - 1508019</v>
      </c>
    </row>
    <row r="69" spans="1:3" x14ac:dyDescent="0.25">
      <c r="A69" t="s">
        <v>241</v>
      </c>
      <c r="B69" t="s">
        <v>504</v>
      </c>
      <c r="C69" t="str">
        <f t="shared" si="1"/>
        <v>4° Secundaria - 1508019</v>
      </c>
    </row>
    <row r="70" spans="1:3" x14ac:dyDescent="0.25">
      <c r="A70" t="s">
        <v>241</v>
      </c>
      <c r="B70" t="s">
        <v>504</v>
      </c>
      <c r="C70" t="str">
        <f t="shared" si="1"/>
        <v>4° Secundaria - 1508019</v>
      </c>
    </row>
    <row r="71" spans="1:3" x14ac:dyDescent="0.25">
      <c r="A71" t="s">
        <v>241</v>
      </c>
      <c r="B71" t="s">
        <v>504</v>
      </c>
      <c r="C71" t="str">
        <f t="shared" si="1"/>
        <v>4° Secundaria - 1508019</v>
      </c>
    </row>
    <row r="72" spans="1:3" x14ac:dyDescent="0.25">
      <c r="A72" t="s">
        <v>241</v>
      </c>
      <c r="B72" t="s">
        <v>504</v>
      </c>
      <c r="C72" t="str">
        <f t="shared" si="1"/>
        <v>4° Secundaria - 1508019</v>
      </c>
    </row>
    <row r="73" spans="1:3" x14ac:dyDescent="0.25">
      <c r="A73" t="s">
        <v>241</v>
      </c>
      <c r="B73" t="s">
        <v>504</v>
      </c>
      <c r="C73" t="str">
        <f t="shared" si="1"/>
        <v>4° Secundaria - 1508019</v>
      </c>
    </row>
    <row r="74" spans="1:3" x14ac:dyDescent="0.25">
      <c r="A74" t="s">
        <v>241</v>
      </c>
      <c r="B74" t="s">
        <v>504</v>
      </c>
      <c r="C74" t="str">
        <f t="shared" si="1"/>
        <v>4° Secundaria - 1508019</v>
      </c>
    </row>
    <row r="75" spans="1:3" x14ac:dyDescent="0.25">
      <c r="A75" t="s">
        <v>241</v>
      </c>
      <c r="B75" t="s">
        <v>506</v>
      </c>
      <c r="C75" t="str">
        <f t="shared" si="1"/>
        <v>4° Secundaria - 0336792</v>
      </c>
    </row>
    <row r="76" spans="1:3" x14ac:dyDescent="0.25">
      <c r="A76" t="s">
        <v>241</v>
      </c>
      <c r="B76" t="s">
        <v>506</v>
      </c>
      <c r="C76" t="str">
        <f t="shared" si="1"/>
        <v>4° Secundaria - 0336792</v>
      </c>
    </row>
    <row r="77" spans="1:3" x14ac:dyDescent="0.25">
      <c r="A77" t="s">
        <v>241</v>
      </c>
      <c r="B77" t="s">
        <v>506</v>
      </c>
      <c r="C77" t="str">
        <f t="shared" si="1"/>
        <v>4° Secundaria - 0336792</v>
      </c>
    </row>
    <row r="78" spans="1:3" x14ac:dyDescent="0.25">
      <c r="A78" t="s">
        <v>241</v>
      </c>
      <c r="B78" t="s">
        <v>506</v>
      </c>
      <c r="C78" t="str">
        <f t="shared" si="1"/>
        <v>4° Secundaria - 0336792</v>
      </c>
    </row>
    <row r="79" spans="1:3" x14ac:dyDescent="0.25">
      <c r="A79" t="s">
        <v>241</v>
      </c>
      <c r="B79" t="s">
        <v>506</v>
      </c>
      <c r="C79" t="str">
        <f t="shared" si="1"/>
        <v>4° Secundaria - 0336792</v>
      </c>
    </row>
    <row r="80" spans="1:3" x14ac:dyDescent="0.25">
      <c r="A80" t="s">
        <v>241</v>
      </c>
      <c r="B80" t="s">
        <v>506</v>
      </c>
      <c r="C80" t="str">
        <f t="shared" si="1"/>
        <v>4° Secundaria - 0336792</v>
      </c>
    </row>
    <row r="81" spans="1:3" x14ac:dyDescent="0.25">
      <c r="A81" t="s">
        <v>241</v>
      </c>
      <c r="B81" t="s">
        <v>506</v>
      </c>
      <c r="C81" t="str">
        <f t="shared" si="1"/>
        <v>4° Secundaria - 0336792</v>
      </c>
    </row>
    <row r="82" spans="1:3" x14ac:dyDescent="0.25">
      <c r="A82" t="s">
        <v>241</v>
      </c>
      <c r="B82" t="s">
        <v>506</v>
      </c>
      <c r="C82" t="str">
        <f t="shared" si="1"/>
        <v>4° Secundaria - 0336792</v>
      </c>
    </row>
    <row r="83" spans="1:3" x14ac:dyDescent="0.25">
      <c r="A83" t="s">
        <v>241</v>
      </c>
      <c r="B83" t="s">
        <v>506</v>
      </c>
      <c r="C83" t="str">
        <f t="shared" si="1"/>
        <v>4° Secundaria - 0336792</v>
      </c>
    </row>
    <row r="84" spans="1:3" x14ac:dyDescent="0.25">
      <c r="A84" t="s">
        <v>241</v>
      </c>
      <c r="B84" t="s">
        <v>506</v>
      </c>
      <c r="C84" t="str">
        <f t="shared" si="1"/>
        <v>4° Secundaria - 0336792</v>
      </c>
    </row>
    <row r="85" spans="1:3" x14ac:dyDescent="0.25">
      <c r="A85" t="s">
        <v>241</v>
      </c>
      <c r="B85" t="s">
        <v>506</v>
      </c>
      <c r="C85" t="str">
        <f t="shared" si="1"/>
        <v>4° Secundaria - 0336792</v>
      </c>
    </row>
    <row r="86" spans="1:3" x14ac:dyDescent="0.25">
      <c r="A86" t="s">
        <v>241</v>
      </c>
      <c r="B86" t="s">
        <v>506</v>
      </c>
      <c r="C86" t="str">
        <f t="shared" si="1"/>
        <v>4° Secundaria - 0336792</v>
      </c>
    </row>
    <row r="87" spans="1:3" x14ac:dyDescent="0.25">
      <c r="A87" t="s">
        <v>241</v>
      </c>
      <c r="B87" t="s">
        <v>506</v>
      </c>
      <c r="C87" t="str">
        <f t="shared" si="1"/>
        <v>4° Secundaria - 0336792</v>
      </c>
    </row>
    <row r="88" spans="1:3" x14ac:dyDescent="0.25">
      <c r="A88" t="s">
        <v>241</v>
      </c>
      <c r="B88" t="s">
        <v>506</v>
      </c>
      <c r="C88" t="str">
        <f t="shared" si="1"/>
        <v>4° Secundaria - 0336792</v>
      </c>
    </row>
    <row r="89" spans="1:3" x14ac:dyDescent="0.25">
      <c r="A89" t="s">
        <v>241</v>
      </c>
      <c r="B89" t="s">
        <v>506</v>
      </c>
      <c r="C89" t="str">
        <f t="shared" si="1"/>
        <v>4° Secundaria - 0336792</v>
      </c>
    </row>
    <row r="90" spans="1:3" x14ac:dyDescent="0.25">
      <c r="A90" t="s">
        <v>241</v>
      </c>
      <c r="B90" t="s">
        <v>506</v>
      </c>
      <c r="C90" t="str">
        <f t="shared" si="1"/>
        <v>4° Secundaria - 0336792</v>
      </c>
    </row>
    <row r="91" spans="1:3" x14ac:dyDescent="0.25">
      <c r="A91" t="s">
        <v>241</v>
      </c>
      <c r="B91" t="s">
        <v>506</v>
      </c>
      <c r="C91" t="str">
        <f t="shared" si="1"/>
        <v>4° Secundaria - 0336792</v>
      </c>
    </row>
    <row r="92" spans="1:3" x14ac:dyDescent="0.25">
      <c r="A92" t="s">
        <v>241</v>
      </c>
      <c r="B92" t="s">
        <v>506</v>
      </c>
      <c r="C92" t="str">
        <f t="shared" si="1"/>
        <v>4° Secundaria - 0336792</v>
      </c>
    </row>
    <row r="93" spans="1:3" x14ac:dyDescent="0.25">
      <c r="A93" t="s">
        <v>241</v>
      </c>
      <c r="B93" t="s">
        <v>506</v>
      </c>
      <c r="C93" t="str">
        <f t="shared" si="1"/>
        <v>4° Secundaria - 0336792</v>
      </c>
    </row>
    <row r="94" spans="1:3" x14ac:dyDescent="0.25">
      <c r="A94" t="s">
        <v>241</v>
      </c>
      <c r="B94" t="s">
        <v>506</v>
      </c>
      <c r="C94" t="str">
        <f t="shared" si="1"/>
        <v>4° Secundaria - 0336792</v>
      </c>
    </row>
    <row r="95" spans="1:3" x14ac:dyDescent="0.25">
      <c r="A95" t="s">
        <v>241</v>
      </c>
      <c r="B95" t="s">
        <v>506</v>
      </c>
      <c r="C95" t="str">
        <f t="shared" si="1"/>
        <v>4° Secundaria - 0336792</v>
      </c>
    </row>
    <row r="96" spans="1:3" x14ac:dyDescent="0.25">
      <c r="A96" t="s">
        <v>241</v>
      </c>
      <c r="B96" t="s">
        <v>506</v>
      </c>
      <c r="C96" t="str">
        <f t="shared" si="1"/>
        <v>4° Secundaria - 0336792</v>
      </c>
    </row>
    <row r="97" spans="1:3" x14ac:dyDescent="0.25">
      <c r="A97" t="s">
        <v>241</v>
      </c>
      <c r="B97" t="s">
        <v>506</v>
      </c>
      <c r="C97" t="str">
        <f t="shared" si="1"/>
        <v>4° Secundaria - 0336792</v>
      </c>
    </row>
    <row r="98" spans="1:3" x14ac:dyDescent="0.25">
      <c r="A98" t="s">
        <v>241</v>
      </c>
      <c r="B98" t="s">
        <v>506</v>
      </c>
      <c r="C98" t="str">
        <f t="shared" si="1"/>
        <v>4° Secundaria - 0336792</v>
      </c>
    </row>
    <row r="99" spans="1:3" x14ac:dyDescent="0.25">
      <c r="A99" t="s">
        <v>241</v>
      </c>
      <c r="B99" t="s">
        <v>506</v>
      </c>
      <c r="C99" t="str">
        <f t="shared" si="1"/>
        <v>4° Secundaria - 0336792</v>
      </c>
    </row>
    <row r="100" spans="1:3" x14ac:dyDescent="0.25">
      <c r="A100" t="s">
        <v>241</v>
      </c>
      <c r="B100" t="s">
        <v>506</v>
      </c>
      <c r="C100" t="str">
        <f t="shared" si="1"/>
        <v>4° Secundaria - 0336792</v>
      </c>
    </row>
    <row r="101" spans="1:3" x14ac:dyDescent="0.25">
      <c r="A101" t="s">
        <v>241</v>
      </c>
      <c r="B101" t="s">
        <v>506</v>
      </c>
      <c r="C101" t="str">
        <f t="shared" si="1"/>
        <v>4° Secundaria - 0336792</v>
      </c>
    </row>
    <row r="102" spans="1:3" x14ac:dyDescent="0.25">
      <c r="A102" t="s">
        <v>241</v>
      </c>
      <c r="B102" t="s">
        <v>506</v>
      </c>
      <c r="C102" t="str">
        <f t="shared" si="1"/>
        <v>4° Secundaria - 0336792</v>
      </c>
    </row>
    <row r="103" spans="1:3" x14ac:dyDescent="0.25">
      <c r="A103" t="s">
        <v>241</v>
      </c>
      <c r="B103" t="s">
        <v>506</v>
      </c>
      <c r="C103" t="str">
        <f t="shared" si="1"/>
        <v>4° Secundaria - 0336792</v>
      </c>
    </row>
    <row r="104" spans="1:3" x14ac:dyDescent="0.25">
      <c r="A104" t="s">
        <v>241</v>
      </c>
      <c r="B104" t="s">
        <v>506</v>
      </c>
      <c r="C104" t="str">
        <f t="shared" si="1"/>
        <v>4° Secundaria - 0336792</v>
      </c>
    </row>
    <row r="105" spans="1:3" x14ac:dyDescent="0.25">
      <c r="A105" t="s">
        <v>241</v>
      </c>
      <c r="B105" t="s">
        <v>506</v>
      </c>
      <c r="C105" t="str">
        <f t="shared" si="1"/>
        <v>4° Secundaria - 0336792</v>
      </c>
    </row>
    <row r="106" spans="1:3" x14ac:dyDescent="0.25">
      <c r="A106" t="s">
        <v>241</v>
      </c>
      <c r="B106" t="s">
        <v>506</v>
      </c>
      <c r="C106" t="str">
        <f t="shared" si="1"/>
        <v>4° Secundaria - 0336792</v>
      </c>
    </row>
    <row r="107" spans="1:3" x14ac:dyDescent="0.25">
      <c r="A107" t="s">
        <v>241</v>
      </c>
      <c r="B107" t="s">
        <v>506</v>
      </c>
      <c r="C107" t="str">
        <f t="shared" si="1"/>
        <v>4° Secundaria - 0336792</v>
      </c>
    </row>
    <row r="108" spans="1:3" x14ac:dyDescent="0.25">
      <c r="A108" t="s">
        <v>241</v>
      </c>
      <c r="B108" t="s">
        <v>506</v>
      </c>
      <c r="C108" t="str">
        <f t="shared" si="1"/>
        <v>4° Secundaria - 0336792</v>
      </c>
    </row>
    <row r="109" spans="1:3" x14ac:dyDescent="0.25">
      <c r="A109" t="s">
        <v>241</v>
      </c>
      <c r="B109" t="s">
        <v>506</v>
      </c>
      <c r="C109" t="str">
        <f t="shared" si="1"/>
        <v>4° Secundaria - 0336792</v>
      </c>
    </row>
    <row r="110" spans="1:3" x14ac:dyDescent="0.25">
      <c r="A110" t="s">
        <v>241</v>
      </c>
      <c r="B110" t="s">
        <v>506</v>
      </c>
      <c r="C110" t="str">
        <f t="shared" si="1"/>
        <v>4° Secundaria - 0336792</v>
      </c>
    </row>
    <row r="111" spans="1:3" x14ac:dyDescent="0.25">
      <c r="A111" t="s">
        <v>241</v>
      </c>
      <c r="B111" t="s">
        <v>506</v>
      </c>
      <c r="C111" t="str">
        <f t="shared" si="1"/>
        <v>4° Secundaria - 0336792</v>
      </c>
    </row>
    <row r="112" spans="1:3" x14ac:dyDescent="0.25">
      <c r="A112" t="s">
        <v>241</v>
      </c>
      <c r="B112" t="s">
        <v>506</v>
      </c>
      <c r="C112" t="str">
        <f t="shared" si="1"/>
        <v>4° Secundaria - 0336792</v>
      </c>
    </row>
    <row r="113" spans="1:3" x14ac:dyDescent="0.25">
      <c r="A113" t="s">
        <v>241</v>
      </c>
      <c r="B113" t="s">
        <v>506</v>
      </c>
      <c r="C113" t="str">
        <f t="shared" si="1"/>
        <v>4° Secundaria - 0336792</v>
      </c>
    </row>
    <row r="114" spans="1:3" x14ac:dyDescent="0.25">
      <c r="A114" t="s">
        <v>241</v>
      </c>
      <c r="B114" t="s">
        <v>506</v>
      </c>
      <c r="C114" t="str">
        <f t="shared" si="1"/>
        <v>4° Secundaria - 0336792</v>
      </c>
    </row>
    <row r="115" spans="1:3" x14ac:dyDescent="0.25">
      <c r="A115" t="s">
        <v>241</v>
      </c>
      <c r="B115" t="s">
        <v>506</v>
      </c>
      <c r="C115" t="str">
        <f t="shared" si="1"/>
        <v>4° Secundaria - 0336792</v>
      </c>
    </row>
    <row r="116" spans="1:3" x14ac:dyDescent="0.25">
      <c r="A116" t="s">
        <v>241</v>
      </c>
      <c r="B116" t="s">
        <v>506</v>
      </c>
      <c r="C116" t="str">
        <f t="shared" si="1"/>
        <v>4° Secundaria - 0336792</v>
      </c>
    </row>
    <row r="117" spans="1:3" x14ac:dyDescent="0.25">
      <c r="A117" t="s">
        <v>241</v>
      </c>
      <c r="B117" t="s">
        <v>506</v>
      </c>
      <c r="C117" t="str">
        <f t="shared" si="1"/>
        <v>4° Secundaria - 0336792</v>
      </c>
    </row>
    <row r="118" spans="1:3" x14ac:dyDescent="0.25">
      <c r="A118" t="s">
        <v>242</v>
      </c>
      <c r="B118" t="s">
        <v>508</v>
      </c>
      <c r="C118" t="str">
        <f t="shared" si="1"/>
        <v>5° Secundaria - 0437467</v>
      </c>
    </row>
    <row r="119" spans="1:3" x14ac:dyDescent="0.25">
      <c r="A119" t="s">
        <v>242</v>
      </c>
      <c r="B119" t="s">
        <v>508</v>
      </c>
      <c r="C119" t="str">
        <f t="shared" si="1"/>
        <v>5° Secundaria - 0437467</v>
      </c>
    </row>
    <row r="120" spans="1:3" x14ac:dyDescent="0.25">
      <c r="A120" t="s">
        <v>242</v>
      </c>
      <c r="B120" t="s">
        <v>508</v>
      </c>
      <c r="C120" t="str">
        <f t="shared" si="1"/>
        <v>5° Secundaria - 0437467</v>
      </c>
    </row>
    <row r="121" spans="1:3" x14ac:dyDescent="0.25">
      <c r="A121" t="s">
        <v>242</v>
      </c>
      <c r="B121" t="s">
        <v>508</v>
      </c>
      <c r="C121" t="str">
        <f t="shared" si="1"/>
        <v>5° Secundaria - 0437467</v>
      </c>
    </row>
    <row r="122" spans="1:3" x14ac:dyDescent="0.25">
      <c r="A122" t="s">
        <v>242</v>
      </c>
      <c r="B122" t="s">
        <v>508</v>
      </c>
      <c r="C122" t="str">
        <f t="shared" si="1"/>
        <v>5° Secundaria - 0437467</v>
      </c>
    </row>
    <row r="123" spans="1:3" x14ac:dyDescent="0.25">
      <c r="A123" t="s">
        <v>242</v>
      </c>
      <c r="B123" t="s">
        <v>508</v>
      </c>
      <c r="C123" t="str">
        <f t="shared" si="1"/>
        <v>5° Secundaria - 0437467</v>
      </c>
    </row>
    <row r="124" spans="1:3" x14ac:dyDescent="0.25">
      <c r="A124" t="s">
        <v>242</v>
      </c>
      <c r="B124" t="s">
        <v>508</v>
      </c>
      <c r="C124" t="str">
        <f t="shared" si="1"/>
        <v>5° Secundaria - 0437467</v>
      </c>
    </row>
    <row r="125" spans="1:3" x14ac:dyDescent="0.25">
      <c r="A125" t="s">
        <v>242</v>
      </c>
      <c r="B125" t="s">
        <v>508</v>
      </c>
      <c r="C125" t="str">
        <f t="shared" si="1"/>
        <v>5° Secundaria - 0437467</v>
      </c>
    </row>
    <row r="126" spans="1:3" x14ac:dyDescent="0.25">
      <c r="A126" t="s">
        <v>242</v>
      </c>
      <c r="B126" t="s">
        <v>508</v>
      </c>
      <c r="C126" t="str">
        <f t="shared" si="1"/>
        <v>5° Secundaria - 0437467</v>
      </c>
    </row>
    <row r="127" spans="1:3" x14ac:dyDescent="0.25">
      <c r="A127" t="s">
        <v>242</v>
      </c>
      <c r="B127" t="s">
        <v>508</v>
      </c>
      <c r="C127" t="str">
        <f t="shared" si="1"/>
        <v>5° Secundaria - 0437467</v>
      </c>
    </row>
    <row r="128" spans="1:3" x14ac:dyDescent="0.25">
      <c r="A128" t="s">
        <v>242</v>
      </c>
      <c r="B128" t="s">
        <v>508</v>
      </c>
      <c r="C128" t="str">
        <f t="shared" si="1"/>
        <v>5° Secundaria - 0437467</v>
      </c>
    </row>
    <row r="129" spans="1:3" x14ac:dyDescent="0.25">
      <c r="A129" t="s">
        <v>242</v>
      </c>
      <c r="B129" t="s">
        <v>508</v>
      </c>
      <c r="C129" t="str">
        <f t="shared" si="1"/>
        <v>5° Secundaria - 0437467</v>
      </c>
    </row>
    <row r="130" spans="1:3" x14ac:dyDescent="0.25">
      <c r="A130" t="s">
        <v>241</v>
      </c>
      <c r="B130" t="s">
        <v>508</v>
      </c>
      <c r="C130" t="str">
        <f t="shared" ref="C130:C193" si="2">CONCATENATE(A130," - ",B130)</f>
        <v>4° Secundaria - 0437467</v>
      </c>
    </row>
    <row r="131" spans="1:3" x14ac:dyDescent="0.25">
      <c r="A131" t="s">
        <v>241</v>
      </c>
      <c r="B131" t="s">
        <v>508</v>
      </c>
      <c r="C131" t="str">
        <f t="shared" si="2"/>
        <v>4° Secundaria - 0437467</v>
      </c>
    </row>
    <row r="132" spans="1:3" x14ac:dyDescent="0.25">
      <c r="A132" t="s">
        <v>241</v>
      </c>
      <c r="B132" t="s">
        <v>508</v>
      </c>
      <c r="C132" t="str">
        <f t="shared" si="2"/>
        <v>4° Secundaria - 0437467</v>
      </c>
    </row>
    <row r="133" spans="1:3" x14ac:dyDescent="0.25">
      <c r="A133" t="s">
        <v>241</v>
      </c>
      <c r="B133" t="s">
        <v>508</v>
      </c>
      <c r="C133" t="str">
        <f t="shared" si="2"/>
        <v>4° Secundaria - 0437467</v>
      </c>
    </row>
    <row r="134" spans="1:3" x14ac:dyDescent="0.25">
      <c r="A134" t="s">
        <v>241</v>
      </c>
      <c r="B134" t="s">
        <v>508</v>
      </c>
      <c r="C134" t="str">
        <f t="shared" si="2"/>
        <v>4° Secundaria - 0437467</v>
      </c>
    </row>
    <row r="135" spans="1:3" x14ac:dyDescent="0.25">
      <c r="A135" t="s">
        <v>241</v>
      </c>
      <c r="B135" t="s">
        <v>508</v>
      </c>
      <c r="C135" t="str">
        <f t="shared" si="2"/>
        <v>4° Secundaria - 0437467</v>
      </c>
    </row>
    <row r="136" spans="1:3" x14ac:dyDescent="0.25">
      <c r="A136" t="s">
        <v>241</v>
      </c>
      <c r="B136" t="s">
        <v>508</v>
      </c>
      <c r="C136" t="str">
        <f t="shared" si="2"/>
        <v>4° Secundaria - 0437467</v>
      </c>
    </row>
    <row r="137" spans="1:3" x14ac:dyDescent="0.25">
      <c r="A137" t="s">
        <v>241</v>
      </c>
      <c r="B137" t="s">
        <v>508</v>
      </c>
      <c r="C137" t="str">
        <f t="shared" si="2"/>
        <v>4° Secundaria - 0437467</v>
      </c>
    </row>
    <row r="138" spans="1:3" x14ac:dyDescent="0.25">
      <c r="A138" t="s">
        <v>241</v>
      </c>
      <c r="B138" t="s">
        <v>508</v>
      </c>
      <c r="C138" t="str">
        <f t="shared" si="2"/>
        <v>4° Secundaria - 0437467</v>
      </c>
    </row>
    <row r="139" spans="1:3" x14ac:dyDescent="0.25">
      <c r="A139" t="s">
        <v>241</v>
      </c>
      <c r="B139" t="s">
        <v>508</v>
      </c>
      <c r="C139" t="str">
        <f t="shared" si="2"/>
        <v>4° Secundaria - 0437467</v>
      </c>
    </row>
    <row r="140" spans="1:3" x14ac:dyDescent="0.25">
      <c r="A140" t="s">
        <v>241</v>
      </c>
      <c r="B140" t="s">
        <v>511</v>
      </c>
      <c r="C140" t="str">
        <f t="shared" si="2"/>
        <v>4° Secundaria - 1268192</v>
      </c>
    </row>
    <row r="141" spans="1:3" x14ac:dyDescent="0.25">
      <c r="A141" t="s">
        <v>241</v>
      </c>
      <c r="B141" t="s">
        <v>511</v>
      </c>
      <c r="C141" t="str">
        <f t="shared" si="2"/>
        <v>4° Secundaria - 1268192</v>
      </c>
    </row>
    <row r="142" spans="1:3" x14ac:dyDescent="0.25">
      <c r="A142" t="s">
        <v>241</v>
      </c>
      <c r="B142" t="s">
        <v>511</v>
      </c>
      <c r="C142" t="str">
        <f t="shared" si="2"/>
        <v>4° Secundaria - 1268192</v>
      </c>
    </row>
    <row r="143" spans="1:3" x14ac:dyDescent="0.25">
      <c r="A143" t="s">
        <v>241</v>
      </c>
      <c r="B143" t="s">
        <v>511</v>
      </c>
      <c r="C143" t="str">
        <f t="shared" si="2"/>
        <v>4° Secundaria - 1268192</v>
      </c>
    </row>
    <row r="144" spans="1:3" x14ac:dyDescent="0.25">
      <c r="A144" t="s">
        <v>241</v>
      </c>
      <c r="B144" t="s">
        <v>511</v>
      </c>
      <c r="C144" t="str">
        <f t="shared" si="2"/>
        <v>4° Secundaria - 1268192</v>
      </c>
    </row>
    <row r="145" spans="1:3" x14ac:dyDescent="0.25">
      <c r="A145" t="s">
        <v>241</v>
      </c>
      <c r="B145" t="s">
        <v>511</v>
      </c>
      <c r="C145" t="str">
        <f t="shared" si="2"/>
        <v>4° Secundaria - 1268192</v>
      </c>
    </row>
    <row r="146" spans="1:3" x14ac:dyDescent="0.25">
      <c r="A146" t="s">
        <v>241</v>
      </c>
      <c r="B146" t="s">
        <v>511</v>
      </c>
      <c r="C146" t="str">
        <f t="shared" si="2"/>
        <v>4° Secundaria - 1268192</v>
      </c>
    </row>
    <row r="147" spans="1:3" x14ac:dyDescent="0.25">
      <c r="A147" t="s">
        <v>241</v>
      </c>
      <c r="B147" t="s">
        <v>511</v>
      </c>
      <c r="C147" t="str">
        <f t="shared" si="2"/>
        <v>4° Secundaria - 1268192</v>
      </c>
    </row>
    <row r="148" spans="1:3" x14ac:dyDescent="0.25">
      <c r="A148" t="s">
        <v>241</v>
      </c>
      <c r="B148" t="s">
        <v>511</v>
      </c>
      <c r="C148" t="str">
        <f t="shared" si="2"/>
        <v>4° Secundaria - 1268192</v>
      </c>
    </row>
    <row r="149" spans="1:3" x14ac:dyDescent="0.25">
      <c r="A149" t="s">
        <v>241</v>
      </c>
      <c r="B149" t="s">
        <v>511</v>
      </c>
      <c r="C149" t="str">
        <f t="shared" si="2"/>
        <v>4° Secundaria - 1268192</v>
      </c>
    </row>
    <row r="150" spans="1:3" x14ac:dyDescent="0.25">
      <c r="A150" t="s">
        <v>242</v>
      </c>
      <c r="B150" t="s">
        <v>513</v>
      </c>
      <c r="C150" t="str">
        <f t="shared" si="2"/>
        <v>5° Secundaria - 1242999</v>
      </c>
    </row>
    <row r="151" spans="1:3" x14ac:dyDescent="0.25">
      <c r="A151" t="s">
        <v>242</v>
      </c>
      <c r="B151" t="s">
        <v>513</v>
      </c>
      <c r="C151" t="str">
        <f t="shared" si="2"/>
        <v>5° Secundaria - 1242999</v>
      </c>
    </row>
    <row r="152" spans="1:3" x14ac:dyDescent="0.25">
      <c r="A152" t="s">
        <v>242</v>
      </c>
      <c r="B152" t="s">
        <v>513</v>
      </c>
      <c r="C152" t="str">
        <f t="shared" si="2"/>
        <v>5° Secundaria - 1242999</v>
      </c>
    </row>
    <row r="153" spans="1:3" x14ac:dyDescent="0.25">
      <c r="A153" t="s">
        <v>242</v>
      </c>
      <c r="B153" t="s">
        <v>513</v>
      </c>
      <c r="C153" t="str">
        <f t="shared" si="2"/>
        <v>5° Secundaria - 1242999</v>
      </c>
    </row>
    <row r="154" spans="1:3" x14ac:dyDescent="0.25">
      <c r="A154" t="s">
        <v>242</v>
      </c>
      <c r="B154" t="s">
        <v>513</v>
      </c>
      <c r="C154" t="str">
        <f t="shared" si="2"/>
        <v>5° Secundaria - 1242999</v>
      </c>
    </row>
    <row r="155" spans="1:3" x14ac:dyDescent="0.25">
      <c r="A155" t="s">
        <v>242</v>
      </c>
      <c r="B155" t="s">
        <v>513</v>
      </c>
      <c r="C155" t="str">
        <f t="shared" si="2"/>
        <v>5° Secundaria - 1242999</v>
      </c>
    </row>
    <row r="156" spans="1:3" x14ac:dyDescent="0.25">
      <c r="A156" t="s">
        <v>242</v>
      </c>
      <c r="B156" t="s">
        <v>513</v>
      </c>
      <c r="C156" t="str">
        <f t="shared" si="2"/>
        <v>5° Secundaria - 1242999</v>
      </c>
    </row>
    <row r="157" spans="1:3" x14ac:dyDescent="0.25">
      <c r="A157" t="s">
        <v>242</v>
      </c>
      <c r="B157" t="s">
        <v>513</v>
      </c>
      <c r="C157" t="str">
        <f t="shared" si="2"/>
        <v>5° Secundaria - 1242999</v>
      </c>
    </row>
    <row r="158" spans="1:3" x14ac:dyDescent="0.25">
      <c r="A158" t="s">
        <v>242</v>
      </c>
      <c r="B158" t="s">
        <v>513</v>
      </c>
      <c r="C158" t="str">
        <f t="shared" si="2"/>
        <v>5° Secundaria - 1242999</v>
      </c>
    </row>
    <row r="159" spans="1:3" x14ac:dyDescent="0.25">
      <c r="A159" t="s">
        <v>242</v>
      </c>
      <c r="B159" t="s">
        <v>513</v>
      </c>
      <c r="C159" t="str">
        <f t="shared" si="2"/>
        <v>5° Secundaria - 1242999</v>
      </c>
    </row>
    <row r="160" spans="1:3" x14ac:dyDescent="0.25">
      <c r="A160" t="s">
        <v>242</v>
      </c>
      <c r="B160" t="s">
        <v>513</v>
      </c>
      <c r="C160" t="str">
        <f t="shared" si="2"/>
        <v>5° Secundaria - 1242999</v>
      </c>
    </row>
    <row r="161" spans="1:3" x14ac:dyDescent="0.25">
      <c r="A161" t="s">
        <v>242</v>
      </c>
      <c r="B161" t="s">
        <v>513</v>
      </c>
      <c r="C161" t="str">
        <f t="shared" si="2"/>
        <v>5° Secundaria - 1242999</v>
      </c>
    </row>
    <row r="162" spans="1:3" x14ac:dyDescent="0.25">
      <c r="A162" t="s">
        <v>242</v>
      </c>
      <c r="B162" t="s">
        <v>513</v>
      </c>
      <c r="C162" t="str">
        <f t="shared" si="2"/>
        <v>5° Secundaria - 1242999</v>
      </c>
    </row>
    <row r="163" spans="1:3" x14ac:dyDescent="0.25">
      <c r="A163" t="s">
        <v>242</v>
      </c>
      <c r="B163" t="s">
        <v>513</v>
      </c>
      <c r="C163" t="str">
        <f t="shared" si="2"/>
        <v>5° Secundaria - 1242999</v>
      </c>
    </row>
    <row r="164" spans="1:3" x14ac:dyDescent="0.25">
      <c r="A164" t="s">
        <v>242</v>
      </c>
      <c r="B164" t="s">
        <v>513</v>
      </c>
      <c r="C164" t="str">
        <f t="shared" si="2"/>
        <v>5° Secundaria - 1242999</v>
      </c>
    </row>
    <row r="165" spans="1:3" x14ac:dyDescent="0.25">
      <c r="A165" t="s">
        <v>242</v>
      </c>
      <c r="B165" t="s">
        <v>513</v>
      </c>
      <c r="C165" t="str">
        <f t="shared" si="2"/>
        <v>5° Secundaria - 1242999</v>
      </c>
    </row>
    <row r="166" spans="1:3" x14ac:dyDescent="0.25">
      <c r="A166" t="s">
        <v>242</v>
      </c>
      <c r="B166" t="s">
        <v>513</v>
      </c>
      <c r="C166" t="str">
        <f t="shared" si="2"/>
        <v>5° Secundaria - 1242999</v>
      </c>
    </row>
    <row r="167" spans="1:3" x14ac:dyDescent="0.25">
      <c r="A167" t="s">
        <v>242</v>
      </c>
      <c r="B167" t="s">
        <v>513</v>
      </c>
      <c r="C167" t="str">
        <f t="shared" si="2"/>
        <v>5° Secundaria - 1242999</v>
      </c>
    </row>
    <row r="168" spans="1:3" x14ac:dyDescent="0.25">
      <c r="A168" t="s">
        <v>242</v>
      </c>
      <c r="B168" t="s">
        <v>511</v>
      </c>
      <c r="C168" t="str">
        <f t="shared" si="2"/>
        <v>5° Secundaria - 1268192</v>
      </c>
    </row>
    <row r="169" spans="1:3" x14ac:dyDescent="0.25">
      <c r="A169" t="s">
        <v>242</v>
      </c>
      <c r="B169" t="s">
        <v>511</v>
      </c>
      <c r="C169" t="str">
        <f t="shared" si="2"/>
        <v>5° Secundaria - 1268192</v>
      </c>
    </row>
    <row r="170" spans="1:3" x14ac:dyDescent="0.25">
      <c r="A170" t="s">
        <v>242</v>
      </c>
      <c r="B170" t="s">
        <v>516</v>
      </c>
      <c r="C170" t="str">
        <f t="shared" si="2"/>
        <v>5° Secundaria - 1576966</v>
      </c>
    </row>
    <row r="171" spans="1:3" x14ac:dyDescent="0.25">
      <c r="A171" t="s">
        <v>242</v>
      </c>
      <c r="B171" t="s">
        <v>516</v>
      </c>
      <c r="C171" t="str">
        <f t="shared" si="2"/>
        <v>5° Secundaria - 1576966</v>
      </c>
    </row>
    <row r="172" spans="1:3" x14ac:dyDescent="0.25">
      <c r="A172" t="s">
        <v>242</v>
      </c>
      <c r="B172" t="s">
        <v>516</v>
      </c>
      <c r="C172" t="str">
        <f t="shared" si="2"/>
        <v>5° Secundaria - 1576966</v>
      </c>
    </row>
    <row r="173" spans="1:3" x14ac:dyDescent="0.25">
      <c r="A173" t="s">
        <v>242</v>
      </c>
      <c r="B173" t="s">
        <v>516</v>
      </c>
      <c r="C173" t="str">
        <f t="shared" si="2"/>
        <v>5° Secundaria - 1576966</v>
      </c>
    </row>
    <row r="174" spans="1:3" x14ac:dyDescent="0.25">
      <c r="A174" t="s">
        <v>242</v>
      </c>
      <c r="B174" t="s">
        <v>516</v>
      </c>
      <c r="C174" t="str">
        <f t="shared" si="2"/>
        <v>5° Secundaria - 1576966</v>
      </c>
    </row>
    <row r="175" spans="1:3" x14ac:dyDescent="0.25">
      <c r="A175" t="s">
        <v>242</v>
      </c>
      <c r="B175" t="s">
        <v>516</v>
      </c>
      <c r="C175" t="str">
        <f t="shared" si="2"/>
        <v>5° Secundaria - 1576966</v>
      </c>
    </row>
    <row r="176" spans="1:3" x14ac:dyDescent="0.25">
      <c r="A176" t="s">
        <v>242</v>
      </c>
      <c r="B176" t="s">
        <v>516</v>
      </c>
      <c r="C176" t="str">
        <f t="shared" si="2"/>
        <v>5° Secundaria - 1576966</v>
      </c>
    </row>
    <row r="177" spans="1:3" x14ac:dyDescent="0.25">
      <c r="A177" t="s">
        <v>242</v>
      </c>
      <c r="B177" t="s">
        <v>516</v>
      </c>
      <c r="C177" t="str">
        <f t="shared" si="2"/>
        <v>5° Secundaria - 1576966</v>
      </c>
    </row>
    <row r="178" spans="1:3" x14ac:dyDescent="0.25">
      <c r="A178" t="s">
        <v>242</v>
      </c>
      <c r="B178" t="s">
        <v>516</v>
      </c>
      <c r="C178" t="str">
        <f t="shared" si="2"/>
        <v>5° Secundaria - 1576966</v>
      </c>
    </row>
    <row r="179" spans="1:3" x14ac:dyDescent="0.25">
      <c r="A179" t="s">
        <v>242</v>
      </c>
      <c r="B179" t="s">
        <v>516</v>
      </c>
      <c r="C179" t="str">
        <f t="shared" si="2"/>
        <v>5° Secundaria - 1576966</v>
      </c>
    </row>
    <row r="180" spans="1:3" x14ac:dyDescent="0.25">
      <c r="A180" t="s">
        <v>242</v>
      </c>
      <c r="B180" t="s">
        <v>516</v>
      </c>
      <c r="C180" t="str">
        <f t="shared" si="2"/>
        <v>5° Secundaria - 1576966</v>
      </c>
    </row>
    <row r="181" spans="1:3" x14ac:dyDescent="0.25">
      <c r="A181" t="s">
        <v>242</v>
      </c>
      <c r="B181" t="s">
        <v>516</v>
      </c>
      <c r="C181" t="str">
        <f t="shared" si="2"/>
        <v>5° Secundaria - 1576966</v>
      </c>
    </row>
    <row r="182" spans="1:3" x14ac:dyDescent="0.25">
      <c r="A182" t="s">
        <v>242</v>
      </c>
      <c r="B182" t="s">
        <v>516</v>
      </c>
      <c r="C182" t="str">
        <f t="shared" si="2"/>
        <v>5° Secundaria - 1576966</v>
      </c>
    </row>
    <row r="183" spans="1:3" x14ac:dyDescent="0.25">
      <c r="A183" t="s">
        <v>242</v>
      </c>
      <c r="B183" t="s">
        <v>516</v>
      </c>
      <c r="C183" t="str">
        <f t="shared" si="2"/>
        <v>5° Secundaria - 1576966</v>
      </c>
    </row>
    <row r="184" spans="1:3" x14ac:dyDescent="0.25">
      <c r="A184" t="s">
        <v>242</v>
      </c>
      <c r="B184" t="s">
        <v>516</v>
      </c>
      <c r="C184" t="str">
        <f t="shared" si="2"/>
        <v>5° Secundaria - 1576966</v>
      </c>
    </row>
    <row r="185" spans="1:3" x14ac:dyDescent="0.25">
      <c r="A185" t="s">
        <v>242</v>
      </c>
      <c r="B185" t="s">
        <v>516</v>
      </c>
      <c r="C185" t="str">
        <f t="shared" si="2"/>
        <v>5° Secundaria - 1576966</v>
      </c>
    </row>
    <row r="186" spans="1:3" x14ac:dyDescent="0.25">
      <c r="A186" t="s">
        <v>242</v>
      </c>
      <c r="B186" t="s">
        <v>516</v>
      </c>
      <c r="C186" t="str">
        <f t="shared" si="2"/>
        <v>5° Secundaria - 1576966</v>
      </c>
    </row>
    <row r="187" spans="1:3" x14ac:dyDescent="0.25">
      <c r="A187" t="s">
        <v>242</v>
      </c>
      <c r="B187" t="s">
        <v>516</v>
      </c>
      <c r="C187" t="str">
        <f t="shared" si="2"/>
        <v>5° Secundaria - 1576966</v>
      </c>
    </row>
    <row r="188" spans="1:3" x14ac:dyDescent="0.25">
      <c r="A188" t="s">
        <v>242</v>
      </c>
      <c r="B188" t="s">
        <v>516</v>
      </c>
      <c r="C188" t="str">
        <f t="shared" si="2"/>
        <v>5° Secundaria - 1576966</v>
      </c>
    </row>
    <row r="189" spans="1:3" x14ac:dyDescent="0.25">
      <c r="A189" t="s">
        <v>242</v>
      </c>
      <c r="B189" t="s">
        <v>516</v>
      </c>
      <c r="C189" t="str">
        <f t="shared" si="2"/>
        <v>5° Secundaria - 1576966</v>
      </c>
    </row>
    <row r="190" spans="1:3" x14ac:dyDescent="0.25">
      <c r="A190" t="s">
        <v>242</v>
      </c>
      <c r="B190" t="s">
        <v>516</v>
      </c>
      <c r="C190" t="str">
        <f t="shared" si="2"/>
        <v>5° Secundaria - 1576966</v>
      </c>
    </row>
    <row r="191" spans="1:3" x14ac:dyDescent="0.25">
      <c r="A191" t="s">
        <v>242</v>
      </c>
      <c r="B191" t="s">
        <v>516</v>
      </c>
      <c r="C191" t="str">
        <f t="shared" si="2"/>
        <v>5° Secundaria - 1576966</v>
      </c>
    </row>
    <row r="192" spans="1:3" x14ac:dyDescent="0.25">
      <c r="A192" t="s">
        <v>242</v>
      </c>
      <c r="B192" t="s">
        <v>516</v>
      </c>
      <c r="C192" t="str">
        <f t="shared" si="2"/>
        <v>5° Secundaria - 1576966</v>
      </c>
    </row>
    <row r="193" spans="1:3" x14ac:dyDescent="0.25">
      <c r="A193" t="s">
        <v>242</v>
      </c>
      <c r="B193" t="s">
        <v>516</v>
      </c>
      <c r="C193" t="str">
        <f t="shared" si="2"/>
        <v>5° Secundaria - 1576966</v>
      </c>
    </row>
    <row r="194" spans="1:3" x14ac:dyDescent="0.25">
      <c r="A194" t="s">
        <v>242</v>
      </c>
      <c r="B194" t="s">
        <v>516</v>
      </c>
      <c r="C194" t="str">
        <f t="shared" ref="C194:C223" si="3">CONCATENATE(A194," - ",B194)</f>
        <v>5° Secundaria - 1576966</v>
      </c>
    </row>
    <row r="195" spans="1:3" x14ac:dyDescent="0.25">
      <c r="A195" t="s">
        <v>242</v>
      </c>
      <c r="B195" t="s">
        <v>516</v>
      </c>
      <c r="C195" t="str">
        <f t="shared" si="3"/>
        <v>5° Secundaria - 1576966</v>
      </c>
    </row>
    <row r="196" spans="1:3" x14ac:dyDescent="0.25">
      <c r="A196" t="s">
        <v>242</v>
      </c>
      <c r="B196" t="s">
        <v>516</v>
      </c>
      <c r="C196" t="str">
        <f t="shared" si="3"/>
        <v>5° Secundaria - 1576966</v>
      </c>
    </row>
    <row r="197" spans="1:3" x14ac:dyDescent="0.25">
      <c r="A197" t="s">
        <v>242</v>
      </c>
      <c r="B197" t="s">
        <v>516</v>
      </c>
      <c r="C197" t="str">
        <f t="shared" si="3"/>
        <v>5° Secundaria - 1576966</v>
      </c>
    </row>
    <row r="198" spans="1:3" x14ac:dyDescent="0.25">
      <c r="A198" t="s">
        <v>242</v>
      </c>
      <c r="B198" t="s">
        <v>516</v>
      </c>
      <c r="C198" t="str">
        <f t="shared" si="3"/>
        <v>5° Secundaria - 1576966</v>
      </c>
    </row>
    <row r="199" spans="1:3" x14ac:dyDescent="0.25">
      <c r="A199" t="s">
        <v>242</v>
      </c>
      <c r="B199" t="s">
        <v>516</v>
      </c>
      <c r="C199" t="str">
        <f t="shared" si="3"/>
        <v>5° Secundaria - 1576966</v>
      </c>
    </row>
    <row r="200" spans="1:3" x14ac:dyDescent="0.25">
      <c r="A200" t="s">
        <v>242</v>
      </c>
      <c r="B200" t="s">
        <v>516</v>
      </c>
      <c r="C200" t="str">
        <f t="shared" si="3"/>
        <v>5° Secundaria - 1576966</v>
      </c>
    </row>
    <row r="201" spans="1:3" x14ac:dyDescent="0.25">
      <c r="A201" t="s">
        <v>242</v>
      </c>
      <c r="B201" t="s">
        <v>516</v>
      </c>
      <c r="C201" t="str">
        <f t="shared" si="3"/>
        <v>5° Secundaria - 1576966</v>
      </c>
    </row>
    <row r="202" spans="1:3" x14ac:dyDescent="0.25">
      <c r="A202" t="s">
        <v>242</v>
      </c>
      <c r="B202" t="s">
        <v>516</v>
      </c>
      <c r="C202" t="str">
        <f t="shared" si="3"/>
        <v>5° Secundaria - 1576966</v>
      </c>
    </row>
    <row r="203" spans="1:3" x14ac:dyDescent="0.25">
      <c r="A203" t="s">
        <v>242</v>
      </c>
      <c r="B203" t="s">
        <v>516</v>
      </c>
      <c r="C203" t="str">
        <f t="shared" si="3"/>
        <v>5° Secundaria - 1576966</v>
      </c>
    </row>
    <row r="204" spans="1:3" x14ac:dyDescent="0.25">
      <c r="A204" t="s">
        <v>242</v>
      </c>
      <c r="B204" t="s">
        <v>516</v>
      </c>
      <c r="C204" t="str">
        <f t="shared" si="3"/>
        <v>5° Secundaria - 1576966</v>
      </c>
    </row>
    <row r="205" spans="1:3" x14ac:dyDescent="0.25">
      <c r="A205" t="s">
        <v>242</v>
      </c>
      <c r="B205" t="s">
        <v>516</v>
      </c>
      <c r="C205" t="str">
        <f t="shared" si="3"/>
        <v>5° Secundaria - 1576966</v>
      </c>
    </row>
    <row r="206" spans="1:3" x14ac:dyDescent="0.25">
      <c r="A206" t="s">
        <v>242</v>
      </c>
      <c r="B206" t="s">
        <v>516</v>
      </c>
      <c r="C206" t="str">
        <f t="shared" si="3"/>
        <v>5° Secundaria - 1576966</v>
      </c>
    </row>
    <row r="207" spans="1:3" x14ac:dyDescent="0.25">
      <c r="A207" t="s">
        <v>242</v>
      </c>
      <c r="B207" t="s">
        <v>516</v>
      </c>
      <c r="C207" t="str">
        <f t="shared" si="3"/>
        <v>5° Secundaria - 1576966</v>
      </c>
    </row>
    <row r="208" spans="1:3" x14ac:dyDescent="0.25">
      <c r="A208" t="s">
        <v>242</v>
      </c>
      <c r="B208" t="s">
        <v>516</v>
      </c>
      <c r="C208" t="str">
        <f t="shared" si="3"/>
        <v>5° Secundaria - 1576966</v>
      </c>
    </row>
    <row r="209" spans="1:3" x14ac:dyDescent="0.25">
      <c r="A209" t="s">
        <v>242</v>
      </c>
      <c r="B209" t="s">
        <v>516</v>
      </c>
      <c r="C209" t="str">
        <f t="shared" si="3"/>
        <v>5° Secundaria - 1576966</v>
      </c>
    </row>
    <row r="210" spans="1:3" x14ac:dyDescent="0.25">
      <c r="A210" t="s">
        <v>242</v>
      </c>
      <c r="B210" t="s">
        <v>516</v>
      </c>
      <c r="C210" t="str">
        <f t="shared" si="3"/>
        <v>5° Secundaria - 1576966</v>
      </c>
    </row>
    <row r="211" spans="1:3" x14ac:dyDescent="0.25">
      <c r="A211" t="s">
        <v>242</v>
      </c>
      <c r="B211" t="s">
        <v>516</v>
      </c>
      <c r="C211" t="str">
        <f t="shared" si="3"/>
        <v>5° Secundaria - 1576966</v>
      </c>
    </row>
    <row r="212" spans="1:3" x14ac:dyDescent="0.25">
      <c r="A212" t="s">
        <v>242</v>
      </c>
      <c r="B212" t="s">
        <v>516</v>
      </c>
      <c r="C212" t="str">
        <f t="shared" si="3"/>
        <v>5° Secundaria - 1576966</v>
      </c>
    </row>
    <row r="213" spans="1:3" x14ac:dyDescent="0.25">
      <c r="A213" t="s">
        <v>242</v>
      </c>
      <c r="B213" t="s">
        <v>516</v>
      </c>
      <c r="C213" t="str">
        <f t="shared" si="3"/>
        <v>5° Secundaria - 1576966</v>
      </c>
    </row>
    <row r="214" spans="1:3" x14ac:dyDescent="0.25">
      <c r="A214" t="s">
        <v>242</v>
      </c>
      <c r="B214" t="s">
        <v>516</v>
      </c>
      <c r="C214" t="str">
        <f t="shared" si="3"/>
        <v>5° Secundaria - 1576966</v>
      </c>
    </row>
    <row r="215" spans="1:3" x14ac:dyDescent="0.25">
      <c r="A215" t="s">
        <v>242</v>
      </c>
      <c r="B215" t="s">
        <v>516</v>
      </c>
      <c r="C215" t="str">
        <f t="shared" si="3"/>
        <v>5° Secundaria - 1576966</v>
      </c>
    </row>
    <row r="216" spans="1:3" x14ac:dyDescent="0.25">
      <c r="A216" t="s">
        <v>242</v>
      </c>
      <c r="B216" t="s">
        <v>516</v>
      </c>
      <c r="C216" t="str">
        <f t="shared" si="3"/>
        <v>5° Secundaria - 1576966</v>
      </c>
    </row>
    <row r="217" spans="1:3" x14ac:dyDescent="0.25">
      <c r="A217" t="s">
        <v>242</v>
      </c>
      <c r="B217" t="s">
        <v>516</v>
      </c>
      <c r="C217" t="str">
        <f t="shared" si="3"/>
        <v>5° Secundaria - 1576966</v>
      </c>
    </row>
    <row r="218" spans="1:3" x14ac:dyDescent="0.25">
      <c r="A218" t="s">
        <v>242</v>
      </c>
      <c r="B218" t="s">
        <v>516</v>
      </c>
      <c r="C218" t="str">
        <f t="shared" si="3"/>
        <v>5° Secundaria - 1576966</v>
      </c>
    </row>
    <row r="219" spans="1:3" x14ac:dyDescent="0.25">
      <c r="A219" t="s">
        <v>242</v>
      </c>
      <c r="B219" t="s">
        <v>516</v>
      </c>
      <c r="C219" t="str">
        <f t="shared" si="3"/>
        <v>5° Secundaria - 1576966</v>
      </c>
    </row>
    <row r="220" spans="1:3" x14ac:dyDescent="0.25">
      <c r="A220" t="s">
        <v>242</v>
      </c>
      <c r="B220" t="s">
        <v>516</v>
      </c>
      <c r="C220" t="str">
        <f t="shared" si="3"/>
        <v>5° Secundaria - 1576966</v>
      </c>
    </row>
    <row r="221" spans="1:3" x14ac:dyDescent="0.25">
      <c r="A221" t="s">
        <v>242</v>
      </c>
      <c r="B221" t="s">
        <v>516</v>
      </c>
      <c r="C221" t="str">
        <f t="shared" si="3"/>
        <v>5° Secundaria - 1576966</v>
      </c>
    </row>
    <row r="222" spans="1:3" x14ac:dyDescent="0.25">
      <c r="A222" t="s">
        <v>242</v>
      </c>
      <c r="B222" t="s">
        <v>516</v>
      </c>
      <c r="C222" t="str">
        <f t="shared" si="3"/>
        <v>5° Secundaria - 1576966</v>
      </c>
    </row>
    <row r="223" spans="1:3" x14ac:dyDescent="0.25">
      <c r="A223" t="s">
        <v>242</v>
      </c>
      <c r="B223" t="s">
        <v>516</v>
      </c>
      <c r="C223" t="str">
        <f t="shared" si="3"/>
        <v>5° Secundaria - 1576966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712F-D475-4F13-B3D9-EDDD4CBCFF19}">
  <sheetPr codeName="Hoja2"/>
  <dimension ref="A1:A8"/>
  <sheetViews>
    <sheetView workbookViewId="0">
      <selection activeCell="D36" sqref="D36"/>
    </sheetView>
  </sheetViews>
  <sheetFormatPr baseColWidth="10" defaultRowHeight="15" x14ac:dyDescent="0.25"/>
  <cols>
    <col min="1" max="1" width="15.7109375" bestFit="1" customWidth="1"/>
  </cols>
  <sheetData>
    <row r="1" spans="1:1" x14ac:dyDescent="0.25">
      <c r="A1" t="s">
        <v>503</v>
      </c>
    </row>
    <row r="2" spans="1:1" x14ac:dyDescent="0.25">
      <c r="A2" t="s">
        <v>505</v>
      </c>
    </row>
    <row r="3" spans="1:1" x14ac:dyDescent="0.25">
      <c r="A3" t="s">
        <v>507</v>
      </c>
    </row>
    <row r="4" spans="1:1" x14ac:dyDescent="0.25">
      <c r="A4" t="s">
        <v>509</v>
      </c>
    </row>
    <row r="5" spans="1:1" x14ac:dyDescent="0.25">
      <c r="A5" t="s">
        <v>510</v>
      </c>
    </row>
    <row r="6" spans="1:1" x14ac:dyDescent="0.25">
      <c r="A6" t="s">
        <v>512</v>
      </c>
    </row>
    <row r="7" spans="1:1" x14ac:dyDescent="0.25">
      <c r="A7" t="s">
        <v>514</v>
      </c>
    </row>
    <row r="8" spans="1:1" x14ac:dyDescent="0.25">
      <c r="A8" t="s">
        <v>515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F9B6-17E0-4265-BCF1-D24DEA58B701}">
  <sheetPr codeName="Hoja3"/>
  <dimension ref="A1:A6"/>
  <sheetViews>
    <sheetView workbookViewId="0">
      <selection activeCell="C43" sqref="C43"/>
    </sheetView>
  </sheetViews>
  <sheetFormatPr baseColWidth="10" defaultRowHeight="15" x14ac:dyDescent="0.25"/>
  <sheetData>
    <row r="1" spans="1:1" x14ac:dyDescent="0.25">
      <c r="A1" t="s">
        <v>504</v>
      </c>
    </row>
    <row r="2" spans="1:1" x14ac:dyDescent="0.25">
      <c r="A2" t="s">
        <v>506</v>
      </c>
    </row>
    <row r="3" spans="1:1" x14ac:dyDescent="0.25">
      <c r="A3" t="s">
        <v>508</v>
      </c>
    </row>
    <row r="4" spans="1:1" x14ac:dyDescent="0.25">
      <c r="A4" t="s">
        <v>511</v>
      </c>
    </row>
    <row r="5" spans="1:1" x14ac:dyDescent="0.25">
      <c r="A5" t="s">
        <v>513</v>
      </c>
    </row>
    <row r="6" spans="1:1" x14ac:dyDescent="0.25">
      <c r="A6" t="s">
        <v>516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Sheet"/>
  <dimension ref="A1:DR68"/>
  <sheetViews>
    <sheetView workbookViewId="0"/>
  </sheetViews>
  <sheetFormatPr baseColWidth="10" defaultRowHeight="15" x14ac:dyDescent="0.25"/>
  <sheetData>
    <row r="1" spans="1:27" x14ac:dyDescent="0.25">
      <c r="A1" t="s">
        <v>155</v>
      </c>
    </row>
    <row r="2" spans="1:27" x14ac:dyDescent="0.25">
      <c r="A2" t="s">
        <v>156</v>
      </c>
      <c r="B2" t="s">
        <v>157</v>
      </c>
    </row>
    <row r="3" spans="1:27" x14ac:dyDescent="0.25">
      <c r="A3" t="s">
        <v>156</v>
      </c>
      <c r="B3" t="s">
        <v>157</v>
      </c>
    </row>
    <row r="4" spans="1:27" x14ac:dyDescent="0.25">
      <c r="A4" t="s">
        <v>156</v>
      </c>
      <c r="B4" t="s">
        <v>157</v>
      </c>
    </row>
    <row r="5" spans="1:27" x14ac:dyDescent="0.25">
      <c r="A5" t="s">
        <v>156</v>
      </c>
      <c r="B5" t="s">
        <v>157</v>
      </c>
    </row>
    <row r="6" spans="1:27" x14ac:dyDescent="0.25">
      <c r="A6" t="s">
        <v>156</v>
      </c>
      <c r="B6" t="s">
        <v>157</v>
      </c>
    </row>
    <row r="7" spans="1:27" x14ac:dyDescent="0.25">
      <c r="A7" t="s">
        <v>156</v>
      </c>
      <c r="B7" t="s">
        <v>157</v>
      </c>
    </row>
    <row r="8" spans="1:27" x14ac:dyDescent="0.25">
      <c r="A8" t="s">
        <v>158</v>
      </c>
      <c r="B8" t="s">
        <v>159</v>
      </c>
      <c r="C8" t="s">
        <v>160</v>
      </c>
      <c r="D8" t="s">
        <v>161</v>
      </c>
      <c r="E8" t="s">
        <v>162</v>
      </c>
      <c r="F8" t="s">
        <v>163</v>
      </c>
      <c r="G8" t="s">
        <v>164</v>
      </c>
      <c r="H8" t="s">
        <v>165</v>
      </c>
      <c r="I8" t="s">
        <v>166</v>
      </c>
    </row>
    <row r="9" spans="1:27" x14ac:dyDescent="0.25">
      <c r="A9" t="s">
        <v>156</v>
      </c>
      <c r="B9" t="s">
        <v>157</v>
      </c>
    </row>
    <row r="10" spans="1:27" x14ac:dyDescent="0.25">
      <c r="A10" t="s">
        <v>156</v>
      </c>
      <c r="B10" t="s">
        <v>157</v>
      </c>
    </row>
    <row r="11" spans="1:27" x14ac:dyDescent="0.25">
      <c r="A11" t="s">
        <v>156</v>
      </c>
      <c r="B11" t="s">
        <v>157</v>
      </c>
    </row>
    <row r="12" spans="1:27" x14ac:dyDescent="0.25">
      <c r="A12" t="s">
        <v>157</v>
      </c>
      <c r="B12" t="s">
        <v>156</v>
      </c>
      <c r="C12" t="s">
        <v>167</v>
      </c>
    </row>
    <row r="13" spans="1:27" x14ac:dyDescent="0.25">
      <c r="A13" t="s">
        <v>157</v>
      </c>
      <c r="B13" t="s">
        <v>156</v>
      </c>
      <c r="C13" t="s">
        <v>167</v>
      </c>
    </row>
    <row r="14" spans="1:27" x14ac:dyDescent="0.25">
      <c r="A14" t="s">
        <v>168</v>
      </c>
      <c r="B14" t="s">
        <v>169</v>
      </c>
      <c r="C14" t="s">
        <v>170</v>
      </c>
      <c r="D14" t="s">
        <v>171</v>
      </c>
      <c r="E14" t="s">
        <v>172</v>
      </c>
      <c r="F14" t="s">
        <v>173</v>
      </c>
      <c r="G14" t="s">
        <v>174</v>
      </c>
      <c r="H14" t="s">
        <v>175</v>
      </c>
      <c r="I14" t="s">
        <v>176</v>
      </c>
      <c r="J14" t="s">
        <v>177</v>
      </c>
    </row>
    <row r="15" spans="1:27" x14ac:dyDescent="0.25">
      <c r="A15" t="s">
        <v>178</v>
      </c>
      <c r="B15" t="s">
        <v>179</v>
      </c>
      <c r="C15" t="s">
        <v>180</v>
      </c>
      <c r="D15" t="s">
        <v>181</v>
      </c>
      <c r="E15" t="s">
        <v>182</v>
      </c>
      <c r="F15" t="s">
        <v>183</v>
      </c>
      <c r="G15" t="s">
        <v>184</v>
      </c>
      <c r="H15" t="s">
        <v>185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  <c r="R15" t="s">
        <v>195</v>
      </c>
      <c r="S15" t="s">
        <v>196</v>
      </c>
      <c r="T15" t="s">
        <v>197</v>
      </c>
      <c r="U15" t="s">
        <v>198</v>
      </c>
      <c r="V15" t="s">
        <v>199</v>
      </c>
      <c r="W15" t="s">
        <v>200</v>
      </c>
      <c r="X15" t="s">
        <v>201</v>
      </c>
      <c r="Y15" t="s">
        <v>202</v>
      </c>
      <c r="Z15" t="s">
        <v>203</v>
      </c>
      <c r="AA15" t="s">
        <v>204</v>
      </c>
    </row>
    <row r="16" spans="1:27" x14ac:dyDescent="0.25">
      <c r="A16" t="s">
        <v>205</v>
      </c>
      <c r="B16" t="s">
        <v>206</v>
      </c>
      <c r="C16" t="s">
        <v>207</v>
      </c>
    </row>
    <row r="17" spans="1:10" x14ac:dyDescent="0.25">
      <c r="A17" t="s">
        <v>208</v>
      </c>
      <c r="B17" t="s">
        <v>209</v>
      </c>
      <c r="C17" t="s">
        <v>210</v>
      </c>
      <c r="D17" t="s">
        <v>211</v>
      </c>
      <c r="E17" t="s">
        <v>212</v>
      </c>
      <c r="F17" t="s">
        <v>213</v>
      </c>
    </row>
    <row r="18" spans="1:10" x14ac:dyDescent="0.25">
      <c r="A18" t="s">
        <v>214</v>
      </c>
      <c r="B18" t="s">
        <v>215</v>
      </c>
      <c r="C18" t="s">
        <v>216</v>
      </c>
      <c r="D18" t="s">
        <v>174</v>
      </c>
      <c r="E18" t="s">
        <v>217</v>
      </c>
      <c r="F18" t="s">
        <v>218</v>
      </c>
    </row>
    <row r="19" spans="1:10" x14ac:dyDescent="0.25">
      <c r="A19" t="s">
        <v>214</v>
      </c>
      <c r="B19" t="s">
        <v>215</v>
      </c>
      <c r="C19" t="s">
        <v>216</v>
      </c>
      <c r="D19" t="s">
        <v>174</v>
      </c>
      <c r="E19" t="s">
        <v>217</v>
      </c>
      <c r="F19" t="s">
        <v>218</v>
      </c>
    </row>
    <row r="20" spans="1:10" x14ac:dyDescent="0.25">
      <c r="A20" t="s">
        <v>214</v>
      </c>
      <c r="B20" t="s">
        <v>215</v>
      </c>
      <c r="C20" t="s">
        <v>216</v>
      </c>
      <c r="D20" t="s">
        <v>174</v>
      </c>
      <c r="E20" t="s">
        <v>217</v>
      </c>
      <c r="F20" t="s">
        <v>218</v>
      </c>
    </row>
    <row r="21" spans="1:10" x14ac:dyDescent="0.25">
      <c r="A21" t="s">
        <v>214</v>
      </c>
      <c r="B21" t="s">
        <v>215</v>
      </c>
      <c r="C21" t="s">
        <v>216</v>
      </c>
      <c r="D21" t="s">
        <v>174</v>
      </c>
      <c r="E21" t="s">
        <v>217</v>
      </c>
      <c r="F21" t="s">
        <v>218</v>
      </c>
    </row>
    <row r="22" spans="1:10" x14ac:dyDescent="0.25">
      <c r="A22" t="s">
        <v>214</v>
      </c>
      <c r="B22" t="s">
        <v>215</v>
      </c>
      <c r="C22" t="s">
        <v>216</v>
      </c>
      <c r="D22" t="s">
        <v>174</v>
      </c>
      <c r="E22" t="s">
        <v>217</v>
      </c>
      <c r="F22" t="s">
        <v>218</v>
      </c>
    </row>
    <row r="23" spans="1:10" x14ac:dyDescent="0.25">
      <c r="A23" t="s">
        <v>156</v>
      </c>
      <c r="B23" t="s">
        <v>157</v>
      </c>
    </row>
    <row r="24" spans="1:10" x14ac:dyDescent="0.25">
      <c r="A24" t="s">
        <v>156</v>
      </c>
      <c r="B24" t="s">
        <v>157</v>
      </c>
    </row>
    <row r="25" spans="1:10" x14ac:dyDescent="0.25">
      <c r="A25" t="s">
        <v>156</v>
      </c>
      <c r="B25" t="s">
        <v>157</v>
      </c>
    </row>
    <row r="26" spans="1:10" x14ac:dyDescent="0.25">
      <c r="A26" t="s">
        <v>156</v>
      </c>
      <c r="B26" t="s">
        <v>157</v>
      </c>
    </row>
    <row r="27" spans="1:10" x14ac:dyDescent="0.25">
      <c r="A27" t="s">
        <v>156</v>
      </c>
      <c r="B27" t="s">
        <v>157</v>
      </c>
    </row>
    <row r="28" spans="1:10" x14ac:dyDescent="0.25">
      <c r="A28" t="s">
        <v>219</v>
      </c>
      <c r="B28" t="s">
        <v>220</v>
      </c>
      <c r="C28" t="s">
        <v>221</v>
      </c>
      <c r="D28" t="s">
        <v>222</v>
      </c>
      <c r="E28" t="s">
        <v>223</v>
      </c>
      <c r="F28" t="s">
        <v>224</v>
      </c>
      <c r="G28" t="s">
        <v>225</v>
      </c>
      <c r="H28" t="s">
        <v>226</v>
      </c>
      <c r="I28" t="s">
        <v>227</v>
      </c>
      <c r="J28" t="s">
        <v>228</v>
      </c>
    </row>
    <row r="29" spans="1:10" x14ac:dyDescent="0.25">
      <c r="A29" t="s">
        <v>219</v>
      </c>
      <c r="B29" t="s">
        <v>220</v>
      </c>
      <c r="C29" t="s">
        <v>221</v>
      </c>
      <c r="D29" t="s">
        <v>222</v>
      </c>
      <c r="E29" t="s">
        <v>223</v>
      </c>
      <c r="F29" t="s">
        <v>224</v>
      </c>
      <c r="G29" t="s">
        <v>225</v>
      </c>
      <c r="H29" t="s">
        <v>226</v>
      </c>
      <c r="I29" t="s">
        <v>227</v>
      </c>
      <c r="J29" t="s">
        <v>228</v>
      </c>
    </row>
    <row r="30" spans="1:10" x14ac:dyDescent="0.25">
      <c r="A30" t="s">
        <v>219</v>
      </c>
      <c r="B30" t="s">
        <v>220</v>
      </c>
      <c r="C30" t="s">
        <v>221</v>
      </c>
      <c r="D30" t="s">
        <v>222</v>
      </c>
      <c r="E30" t="s">
        <v>223</v>
      </c>
      <c r="F30" t="s">
        <v>224</v>
      </c>
      <c r="G30" t="s">
        <v>225</v>
      </c>
      <c r="H30" t="s">
        <v>226</v>
      </c>
      <c r="I30" t="s">
        <v>227</v>
      </c>
      <c r="J30" t="s">
        <v>228</v>
      </c>
    </row>
    <row r="31" spans="1:10" x14ac:dyDescent="0.25">
      <c r="A31" t="s">
        <v>219</v>
      </c>
      <c r="B31" t="s">
        <v>220</v>
      </c>
      <c r="C31" t="s">
        <v>221</v>
      </c>
      <c r="D31" t="s">
        <v>222</v>
      </c>
      <c r="E31" t="s">
        <v>223</v>
      </c>
      <c r="F31" t="s">
        <v>224</v>
      </c>
      <c r="G31" t="s">
        <v>225</v>
      </c>
      <c r="H31" t="s">
        <v>226</v>
      </c>
      <c r="I31" t="s">
        <v>227</v>
      </c>
      <c r="J31" t="s">
        <v>228</v>
      </c>
    </row>
    <row r="32" spans="1:10" x14ac:dyDescent="0.25">
      <c r="A32" t="s">
        <v>219</v>
      </c>
      <c r="B32" t="s">
        <v>220</v>
      </c>
      <c r="C32" t="s">
        <v>221</v>
      </c>
      <c r="D32" t="s">
        <v>222</v>
      </c>
      <c r="E32" t="s">
        <v>223</v>
      </c>
      <c r="F32" t="s">
        <v>224</v>
      </c>
      <c r="G32" t="s">
        <v>225</v>
      </c>
      <c r="H32" t="s">
        <v>226</v>
      </c>
      <c r="I32" t="s">
        <v>227</v>
      </c>
      <c r="J32" t="s">
        <v>228</v>
      </c>
    </row>
    <row r="33" spans="1:28" x14ac:dyDescent="0.25">
      <c r="A33" t="s">
        <v>156</v>
      </c>
      <c r="B33" t="s">
        <v>157</v>
      </c>
    </row>
    <row r="34" spans="1:28" x14ac:dyDescent="0.25">
      <c r="A34" t="s">
        <v>156</v>
      </c>
      <c r="B34" t="s">
        <v>157</v>
      </c>
    </row>
    <row r="35" spans="1:28" x14ac:dyDescent="0.25">
      <c r="A35" t="s">
        <v>156</v>
      </c>
      <c r="B35" t="s">
        <v>157</v>
      </c>
    </row>
    <row r="36" spans="1:28" x14ac:dyDescent="0.25">
      <c r="A36" t="s">
        <v>156</v>
      </c>
      <c r="B36" t="s">
        <v>157</v>
      </c>
    </row>
    <row r="37" spans="1:28" x14ac:dyDescent="0.25">
      <c r="A37" t="s">
        <v>156</v>
      </c>
      <c r="B37" t="s">
        <v>157</v>
      </c>
    </row>
    <row r="38" spans="1:28" x14ac:dyDescent="0.25">
      <c r="A38" t="s">
        <v>229</v>
      </c>
      <c r="B38" t="s">
        <v>230</v>
      </c>
      <c r="C38" t="s">
        <v>231</v>
      </c>
      <c r="D38" t="s">
        <v>232</v>
      </c>
      <c r="E38" t="s">
        <v>233</v>
      </c>
      <c r="F38" t="s">
        <v>234</v>
      </c>
      <c r="G38" t="s">
        <v>235</v>
      </c>
      <c r="H38" t="s">
        <v>236</v>
      </c>
    </row>
    <row r="39" spans="1:28" x14ac:dyDescent="0.25">
      <c r="A39" t="s">
        <v>237</v>
      </c>
      <c r="B39" t="s">
        <v>184</v>
      </c>
      <c r="C39" t="s">
        <v>238</v>
      </c>
      <c r="D39" t="s">
        <v>239</v>
      </c>
    </row>
    <row r="40" spans="1:28" x14ac:dyDescent="0.25">
      <c r="A40" t="s">
        <v>240</v>
      </c>
      <c r="B40" t="s">
        <v>241</v>
      </c>
      <c r="C40" t="s">
        <v>242</v>
      </c>
      <c r="D40" t="s">
        <v>243</v>
      </c>
      <c r="E40" t="s">
        <v>244</v>
      </c>
      <c r="F40" t="s">
        <v>245</v>
      </c>
      <c r="G40" t="s">
        <v>246</v>
      </c>
      <c r="H40" t="s">
        <v>166</v>
      </c>
      <c r="I40" t="s">
        <v>247</v>
      </c>
      <c r="J40" t="s">
        <v>248</v>
      </c>
    </row>
    <row r="41" spans="1:28" x14ac:dyDescent="0.25">
      <c r="A41" t="s">
        <v>249</v>
      </c>
      <c r="B41" t="s">
        <v>250</v>
      </c>
      <c r="C41" t="s">
        <v>251</v>
      </c>
      <c r="D41" t="s">
        <v>166</v>
      </c>
    </row>
    <row r="42" spans="1:28" x14ac:dyDescent="0.25">
      <c r="A42" t="s">
        <v>252</v>
      </c>
      <c r="B42" t="s">
        <v>253</v>
      </c>
      <c r="C42" t="s">
        <v>254</v>
      </c>
      <c r="D42" t="s">
        <v>255</v>
      </c>
      <c r="E42" t="s">
        <v>256</v>
      </c>
      <c r="F42" t="s">
        <v>257</v>
      </c>
      <c r="G42" t="s">
        <v>258</v>
      </c>
      <c r="H42" t="s">
        <v>259</v>
      </c>
      <c r="I42" t="s">
        <v>260</v>
      </c>
      <c r="J42" t="s">
        <v>261</v>
      </c>
      <c r="K42" t="s">
        <v>262</v>
      </c>
      <c r="L42" t="s">
        <v>263</v>
      </c>
      <c r="M42" t="s">
        <v>264</v>
      </c>
      <c r="N42" t="s">
        <v>265</v>
      </c>
      <c r="O42" t="s">
        <v>266</v>
      </c>
      <c r="P42" t="s">
        <v>267</v>
      </c>
      <c r="Q42" t="s">
        <v>268</v>
      </c>
      <c r="R42" t="s">
        <v>269</v>
      </c>
      <c r="S42" t="s">
        <v>270</v>
      </c>
      <c r="T42" t="s">
        <v>271</v>
      </c>
      <c r="U42" t="s">
        <v>272</v>
      </c>
      <c r="V42" t="s">
        <v>273</v>
      </c>
      <c r="W42" t="s">
        <v>274</v>
      </c>
      <c r="X42" t="s">
        <v>275</v>
      </c>
      <c r="Y42" t="s">
        <v>276</v>
      </c>
      <c r="Z42" t="s">
        <v>277</v>
      </c>
      <c r="AA42" t="s">
        <v>278</v>
      </c>
    </row>
    <row r="43" spans="1:28" x14ac:dyDescent="0.25">
      <c r="A43" t="s">
        <v>279</v>
      </c>
      <c r="B43" t="s">
        <v>280</v>
      </c>
      <c r="C43" t="s">
        <v>281</v>
      </c>
      <c r="D43" t="s">
        <v>282</v>
      </c>
      <c r="E43" t="s">
        <v>283</v>
      </c>
      <c r="F43" t="s">
        <v>284</v>
      </c>
      <c r="G43" t="s">
        <v>285</v>
      </c>
      <c r="H43" t="s">
        <v>286</v>
      </c>
      <c r="I43" t="s">
        <v>287</v>
      </c>
      <c r="J43" t="s">
        <v>268</v>
      </c>
      <c r="K43" t="s">
        <v>288</v>
      </c>
      <c r="L43" t="s">
        <v>289</v>
      </c>
      <c r="M43" t="s">
        <v>290</v>
      </c>
      <c r="N43" t="s">
        <v>291</v>
      </c>
      <c r="O43" t="s">
        <v>292</v>
      </c>
      <c r="P43" t="s">
        <v>293</v>
      </c>
      <c r="Q43" t="s">
        <v>294</v>
      </c>
      <c r="R43" t="s">
        <v>295</v>
      </c>
      <c r="S43" t="s">
        <v>271</v>
      </c>
      <c r="T43" t="s">
        <v>296</v>
      </c>
      <c r="U43" t="s">
        <v>297</v>
      </c>
      <c r="V43" t="s">
        <v>298</v>
      </c>
      <c r="W43" t="s">
        <v>299</v>
      </c>
      <c r="X43" t="s">
        <v>300</v>
      </c>
      <c r="Y43" t="s">
        <v>301</v>
      </c>
      <c r="Z43" t="s">
        <v>302</v>
      </c>
      <c r="AA43" t="s">
        <v>303</v>
      </c>
      <c r="AB43" t="s">
        <v>304</v>
      </c>
    </row>
    <row r="44" spans="1:28" x14ac:dyDescent="0.25">
      <c r="A44" t="s">
        <v>305</v>
      </c>
      <c r="B44" t="s">
        <v>306</v>
      </c>
      <c r="C44" t="s">
        <v>307</v>
      </c>
      <c r="D44" t="s">
        <v>308</v>
      </c>
      <c r="E44" t="s">
        <v>309</v>
      </c>
      <c r="F44" t="s">
        <v>310</v>
      </c>
      <c r="G44" t="s">
        <v>311</v>
      </c>
      <c r="H44" t="s">
        <v>312</v>
      </c>
      <c r="I44" t="s">
        <v>313</v>
      </c>
    </row>
    <row r="45" spans="1:28" x14ac:dyDescent="0.25">
      <c r="A45" t="s">
        <v>314</v>
      </c>
      <c r="B45" t="s">
        <v>315</v>
      </c>
      <c r="C45" t="s">
        <v>316</v>
      </c>
      <c r="D45" t="s">
        <v>317</v>
      </c>
      <c r="E45" t="s">
        <v>318</v>
      </c>
      <c r="F45" t="s">
        <v>319</v>
      </c>
      <c r="G45" t="s">
        <v>320</v>
      </c>
      <c r="H45" t="s">
        <v>321</v>
      </c>
      <c r="I45" t="s">
        <v>322</v>
      </c>
      <c r="J45" t="s">
        <v>323</v>
      </c>
      <c r="K45" t="s">
        <v>324</v>
      </c>
      <c r="L45" t="s">
        <v>325</v>
      </c>
      <c r="M45" t="s">
        <v>326</v>
      </c>
      <c r="N45" t="s">
        <v>327</v>
      </c>
      <c r="O45" t="s">
        <v>328</v>
      </c>
      <c r="P45" t="s">
        <v>329</v>
      </c>
    </row>
    <row r="46" spans="1:28" x14ac:dyDescent="0.25">
      <c r="A46" t="s">
        <v>330</v>
      </c>
      <c r="B46" t="s">
        <v>331</v>
      </c>
      <c r="C46" t="s">
        <v>332</v>
      </c>
      <c r="D46" t="s">
        <v>333</v>
      </c>
      <c r="E46" t="s">
        <v>334</v>
      </c>
      <c r="F46" t="s">
        <v>335</v>
      </c>
      <c r="G46" t="s">
        <v>336</v>
      </c>
      <c r="H46" t="s">
        <v>337</v>
      </c>
      <c r="I46" t="s">
        <v>338</v>
      </c>
      <c r="J46" t="s">
        <v>339</v>
      </c>
      <c r="K46" t="s">
        <v>340</v>
      </c>
      <c r="L46" t="s">
        <v>328</v>
      </c>
      <c r="M46" t="s">
        <v>341</v>
      </c>
      <c r="N46" t="s">
        <v>342</v>
      </c>
      <c r="O46" t="s">
        <v>343</v>
      </c>
    </row>
    <row r="47" spans="1:28" x14ac:dyDescent="0.25">
      <c r="A47" t="s">
        <v>344</v>
      </c>
      <c r="B47" t="s">
        <v>345</v>
      </c>
      <c r="C47" t="s">
        <v>346</v>
      </c>
      <c r="D47" t="s">
        <v>347</v>
      </c>
      <c r="E47" t="s">
        <v>348</v>
      </c>
      <c r="F47" t="s">
        <v>349</v>
      </c>
      <c r="G47" t="s">
        <v>350</v>
      </c>
      <c r="H47" t="s">
        <v>351</v>
      </c>
      <c r="I47" t="s">
        <v>352</v>
      </c>
      <c r="J47" t="s">
        <v>353</v>
      </c>
      <c r="K47" t="s">
        <v>160</v>
      </c>
      <c r="L47" t="s">
        <v>354</v>
      </c>
      <c r="M47" t="s">
        <v>355</v>
      </c>
      <c r="N47" t="s">
        <v>356</v>
      </c>
      <c r="O47" t="s">
        <v>357</v>
      </c>
      <c r="P47" t="s">
        <v>358</v>
      </c>
      <c r="Q47" t="s">
        <v>359</v>
      </c>
      <c r="R47" t="s">
        <v>360</v>
      </c>
    </row>
    <row r="48" spans="1:28" x14ac:dyDescent="0.25">
      <c r="A48" t="s">
        <v>361</v>
      </c>
      <c r="B48" t="s">
        <v>362</v>
      </c>
      <c r="C48" t="s">
        <v>363</v>
      </c>
      <c r="D48" t="s">
        <v>364</v>
      </c>
      <c r="E48" t="s">
        <v>365</v>
      </c>
      <c r="F48" t="s">
        <v>366</v>
      </c>
      <c r="G48" t="s">
        <v>367</v>
      </c>
      <c r="H48" t="s">
        <v>368</v>
      </c>
      <c r="I48" t="s">
        <v>369</v>
      </c>
      <c r="J48" t="s">
        <v>370</v>
      </c>
      <c r="K48" t="s">
        <v>371</v>
      </c>
      <c r="L48" t="s">
        <v>162</v>
      </c>
      <c r="M48" t="s">
        <v>372</v>
      </c>
      <c r="N48" t="s">
        <v>373</v>
      </c>
    </row>
    <row r="49" spans="1:122" x14ac:dyDescent="0.25">
      <c r="A49" t="s">
        <v>374</v>
      </c>
      <c r="B49" t="s">
        <v>361</v>
      </c>
      <c r="C49" t="s">
        <v>375</v>
      </c>
      <c r="D49" t="s">
        <v>376</v>
      </c>
      <c r="E49" t="s">
        <v>377</v>
      </c>
      <c r="F49" t="s">
        <v>378</v>
      </c>
      <c r="G49" t="s">
        <v>379</v>
      </c>
      <c r="H49" t="s">
        <v>380</v>
      </c>
      <c r="I49" t="s">
        <v>381</v>
      </c>
      <c r="J49" t="s">
        <v>382</v>
      </c>
      <c r="K49" t="s">
        <v>383</v>
      </c>
      <c r="L49" t="s">
        <v>384</v>
      </c>
      <c r="M49" t="s">
        <v>385</v>
      </c>
      <c r="N49" t="s">
        <v>386</v>
      </c>
      <c r="O49" t="s">
        <v>387</v>
      </c>
      <c r="P49" t="s">
        <v>388</v>
      </c>
      <c r="Q49" t="s">
        <v>389</v>
      </c>
      <c r="R49" t="s">
        <v>390</v>
      </c>
      <c r="S49" t="s">
        <v>391</v>
      </c>
      <c r="T49" t="s">
        <v>392</v>
      </c>
      <c r="U49" t="s">
        <v>393</v>
      </c>
      <c r="V49" t="s">
        <v>394</v>
      </c>
      <c r="W49" t="s">
        <v>395</v>
      </c>
      <c r="X49" t="s">
        <v>396</v>
      </c>
      <c r="Y49" t="s">
        <v>397</v>
      </c>
      <c r="Z49" t="s">
        <v>398</v>
      </c>
      <c r="AA49" t="s">
        <v>399</v>
      </c>
      <c r="AB49" t="s">
        <v>400</v>
      </c>
      <c r="AC49" t="s">
        <v>401</v>
      </c>
      <c r="AD49" t="s">
        <v>402</v>
      </c>
      <c r="AE49" t="s">
        <v>403</v>
      </c>
      <c r="AF49" t="s">
        <v>404</v>
      </c>
      <c r="AG49" t="s">
        <v>405</v>
      </c>
      <c r="AH49" t="s">
        <v>406</v>
      </c>
      <c r="AI49" t="s">
        <v>407</v>
      </c>
      <c r="AJ49" t="s">
        <v>408</v>
      </c>
      <c r="AK49" t="s">
        <v>409</v>
      </c>
      <c r="AL49" t="s">
        <v>410</v>
      </c>
      <c r="AM49" t="s">
        <v>411</v>
      </c>
      <c r="AN49" t="s">
        <v>412</v>
      </c>
      <c r="AO49" t="s">
        <v>413</v>
      </c>
      <c r="AP49" t="s">
        <v>414</v>
      </c>
      <c r="AQ49" t="s">
        <v>415</v>
      </c>
      <c r="AR49" t="s">
        <v>416</v>
      </c>
      <c r="AS49" t="s">
        <v>417</v>
      </c>
      <c r="AT49" t="s">
        <v>418</v>
      </c>
      <c r="AU49" t="s">
        <v>419</v>
      </c>
      <c r="AV49" t="s">
        <v>420</v>
      </c>
      <c r="AW49" t="s">
        <v>421</v>
      </c>
      <c r="AX49" t="s">
        <v>422</v>
      </c>
      <c r="AY49" t="s">
        <v>423</v>
      </c>
      <c r="AZ49" t="s">
        <v>424</v>
      </c>
      <c r="BA49" t="s">
        <v>425</v>
      </c>
      <c r="BB49" t="s">
        <v>426</v>
      </c>
      <c r="BC49" t="s">
        <v>427</v>
      </c>
      <c r="BD49" t="s">
        <v>428</v>
      </c>
      <c r="BE49" t="s">
        <v>429</v>
      </c>
      <c r="BF49" t="s">
        <v>430</v>
      </c>
      <c r="BG49" t="s">
        <v>431</v>
      </c>
      <c r="BH49" t="s">
        <v>432</v>
      </c>
      <c r="BI49" t="s">
        <v>433</v>
      </c>
      <c r="BJ49" t="s">
        <v>434</v>
      </c>
      <c r="BK49" t="s">
        <v>435</v>
      </c>
      <c r="BL49" t="s">
        <v>436</v>
      </c>
      <c r="BM49" t="s">
        <v>437</v>
      </c>
      <c r="BN49" t="s">
        <v>438</v>
      </c>
      <c r="BO49" t="s">
        <v>439</v>
      </c>
      <c r="BP49" t="s">
        <v>440</v>
      </c>
      <c r="BQ49" t="s">
        <v>441</v>
      </c>
      <c r="BR49" t="s">
        <v>442</v>
      </c>
      <c r="BS49" t="s">
        <v>443</v>
      </c>
      <c r="BT49" t="s">
        <v>444</v>
      </c>
      <c r="BU49" t="s">
        <v>445</v>
      </c>
      <c r="BV49" t="s">
        <v>446</v>
      </c>
      <c r="BW49" t="s">
        <v>447</v>
      </c>
      <c r="BX49" t="s">
        <v>448</v>
      </c>
      <c r="BY49" t="s">
        <v>449</v>
      </c>
      <c r="BZ49" t="s">
        <v>450</v>
      </c>
      <c r="CA49" t="s">
        <v>451</v>
      </c>
      <c r="CB49" t="s">
        <v>452</v>
      </c>
      <c r="CC49" t="s">
        <v>453</v>
      </c>
      <c r="CD49" t="s">
        <v>454</v>
      </c>
      <c r="CE49" t="s">
        <v>455</v>
      </c>
      <c r="CF49" t="s">
        <v>456</v>
      </c>
      <c r="CG49" t="s">
        <v>457</v>
      </c>
      <c r="CH49" t="s">
        <v>458</v>
      </c>
      <c r="CI49" t="s">
        <v>459</v>
      </c>
      <c r="CJ49" t="s">
        <v>460</v>
      </c>
      <c r="CK49" t="s">
        <v>461</v>
      </c>
      <c r="CL49" t="s">
        <v>462</v>
      </c>
      <c r="CM49" t="s">
        <v>463</v>
      </c>
      <c r="CN49" t="s">
        <v>464</v>
      </c>
      <c r="CO49" t="s">
        <v>366</v>
      </c>
      <c r="CP49" t="s">
        <v>465</v>
      </c>
      <c r="CQ49" t="s">
        <v>466</v>
      </c>
      <c r="CR49" t="s">
        <v>467</v>
      </c>
      <c r="CS49" t="s">
        <v>468</v>
      </c>
      <c r="CT49" t="s">
        <v>469</v>
      </c>
      <c r="CU49" t="s">
        <v>470</v>
      </c>
      <c r="CV49" t="s">
        <v>471</v>
      </c>
      <c r="CW49" t="s">
        <v>472</v>
      </c>
      <c r="CX49" t="s">
        <v>473</v>
      </c>
      <c r="CY49" t="s">
        <v>474</v>
      </c>
      <c r="CZ49" t="s">
        <v>475</v>
      </c>
      <c r="DA49" t="s">
        <v>476</v>
      </c>
      <c r="DB49" t="s">
        <v>477</v>
      </c>
      <c r="DC49" t="s">
        <v>478</v>
      </c>
      <c r="DD49" t="s">
        <v>479</v>
      </c>
      <c r="DE49" t="s">
        <v>480</v>
      </c>
      <c r="DF49" t="s">
        <v>481</v>
      </c>
      <c r="DG49" t="s">
        <v>482</v>
      </c>
      <c r="DH49" t="s">
        <v>483</v>
      </c>
      <c r="DI49" t="s">
        <v>484</v>
      </c>
      <c r="DJ49" t="s">
        <v>485</v>
      </c>
      <c r="DK49" t="s">
        <v>486</v>
      </c>
      <c r="DL49" t="s">
        <v>487</v>
      </c>
      <c r="DM49" t="s">
        <v>488</v>
      </c>
      <c r="DN49" t="s">
        <v>489</v>
      </c>
      <c r="DO49" t="s">
        <v>490</v>
      </c>
      <c r="DP49" t="s">
        <v>370</v>
      </c>
      <c r="DQ49" t="s">
        <v>371</v>
      </c>
      <c r="DR49" t="s">
        <v>162</v>
      </c>
    </row>
    <row r="50" spans="1:122" x14ac:dyDescent="0.25">
      <c r="A50" t="s">
        <v>168</v>
      </c>
      <c r="B50" t="s">
        <v>169</v>
      </c>
      <c r="C50" t="s">
        <v>170</v>
      </c>
      <c r="D50" t="s">
        <v>171</v>
      </c>
      <c r="E50" t="s">
        <v>172</v>
      </c>
      <c r="F50" t="s">
        <v>173</v>
      </c>
      <c r="G50" t="s">
        <v>174</v>
      </c>
      <c r="H50" t="s">
        <v>175</v>
      </c>
      <c r="I50" t="s">
        <v>176</v>
      </c>
      <c r="J50" t="s">
        <v>177</v>
      </c>
    </row>
    <row r="51" spans="1:122" x14ac:dyDescent="0.25">
      <c r="A51" t="s">
        <v>205</v>
      </c>
      <c r="B51" t="s">
        <v>206</v>
      </c>
      <c r="C51" t="s">
        <v>207</v>
      </c>
    </row>
    <row r="52" spans="1:122" x14ac:dyDescent="0.25">
      <c r="A52" t="s">
        <v>344</v>
      </c>
      <c r="B52" t="s">
        <v>345</v>
      </c>
      <c r="C52" t="s">
        <v>346</v>
      </c>
      <c r="D52" t="s">
        <v>347</v>
      </c>
      <c r="E52" t="s">
        <v>348</v>
      </c>
      <c r="F52" t="s">
        <v>349</v>
      </c>
      <c r="G52" t="s">
        <v>350</v>
      </c>
      <c r="H52" t="s">
        <v>351</v>
      </c>
      <c r="I52" t="s">
        <v>352</v>
      </c>
      <c r="J52" t="s">
        <v>353</v>
      </c>
      <c r="K52" t="s">
        <v>160</v>
      </c>
      <c r="L52" t="s">
        <v>354</v>
      </c>
      <c r="M52" t="s">
        <v>355</v>
      </c>
      <c r="N52" t="s">
        <v>356</v>
      </c>
      <c r="O52" t="s">
        <v>357</v>
      </c>
      <c r="P52" t="s">
        <v>358</v>
      </c>
      <c r="Q52" t="s">
        <v>359</v>
      </c>
      <c r="R52" t="s">
        <v>360</v>
      </c>
    </row>
    <row r="53" spans="1:122" x14ac:dyDescent="0.25">
      <c r="A53" t="s">
        <v>156</v>
      </c>
      <c r="B53" t="s">
        <v>157</v>
      </c>
    </row>
    <row r="54" spans="1:122" x14ac:dyDescent="0.25">
      <c r="A54" t="s">
        <v>491</v>
      </c>
      <c r="B54" t="s">
        <v>492</v>
      </c>
      <c r="C54" t="s">
        <v>493</v>
      </c>
      <c r="D54" t="s">
        <v>494</v>
      </c>
      <c r="E54" t="s">
        <v>495</v>
      </c>
      <c r="F54" t="s">
        <v>496</v>
      </c>
      <c r="G54" t="s">
        <v>497</v>
      </c>
      <c r="H54" t="s">
        <v>162</v>
      </c>
    </row>
    <row r="55" spans="1:122" x14ac:dyDescent="0.25">
      <c r="A55" t="s">
        <v>156</v>
      </c>
      <c r="B55" t="s">
        <v>157</v>
      </c>
    </row>
    <row r="56" spans="1:122" x14ac:dyDescent="0.25">
      <c r="A56" t="s">
        <v>156</v>
      </c>
      <c r="B56" t="s">
        <v>157</v>
      </c>
    </row>
    <row r="57" spans="1:122" x14ac:dyDescent="0.25">
      <c r="A57" t="s">
        <v>156</v>
      </c>
      <c r="B57" t="s">
        <v>157</v>
      </c>
    </row>
    <row r="58" spans="1:122" x14ac:dyDescent="0.25">
      <c r="A58" t="s">
        <v>158</v>
      </c>
      <c r="B58" t="s">
        <v>159</v>
      </c>
      <c r="C58" t="s">
        <v>160</v>
      </c>
      <c r="D58" t="s">
        <v>161</v>
      </c>
      <c r="E58" t="s">
        <v>162</v>
      </c>
      <c r="F58" t="s">
        <v>163</v>
      </c>
      <c r="G58" t="s">
        <v>164</v>
      </c>
      <c r="H58" t="s">
        <v>165</v>
      </c>
      <c r="I58" t="s">
        <v>166</v>
      </c>
    </row>
    <row r="59" spans="1:122" x14ac:dyDescent="0.25">
      <c r="A59" t="s">
        <v>214</v>
      </c>
      <c r="B59" t="s">
        <v>215</v>
      </c>
      <c r="C59" t="s">
        <v>216</v>
      </c>
      <c r="D59" t="s">
        <v>174</v>
      </c>
      <c r="E59" t="s">
        <v>217</v>
      </c>
      <c r="F59" t="s">
        <v>218</v>
      </c>
    </row>
    <row r="60" spans="1:122" x14ac:dyDescent="0.25">
      <c r="A60" t="s">
        <v>214</v>
      </c>
      <c r="B60" t="s">
        <v>215</v>
      </c>
      <c r="C60" t="s">
        <v>216</v>
      </c>
      <c r="D60" t="s">
        <v>174</v>
      </c>
      <c r="E60" t="s">
        <v>217</v>
      </c>
      <c r="F60" t="s">
        <v>218</v>
      </c>
    </row>
    <row r="61" spans="1:122" x14ac:dyDescent="0.25">
      <c r="A61" t="s">
        <v>156</v>
      </c>
      <c r="B61" t="s">
        <v>157</v>
      </c>
    </row>
    <row r="62" spans="1:122" x14ac:dyDescent="0.25">
      <c r="A62" t="s">
        <v>156</v>
      </c>
      <c r="B62" t="s">
        <v>157</v>
      </c>
    </row>
    <row r="63" spans="1:122" x14ac:dyDescent="0.25">
      <c r="A63" t="s">
        <v>219</v>
      </c>
      <c r="B63" t="s">
        <v>220</v>
      </c>
      <c r="C63" t="s">
        <v>221</v>
      </c>
      <c r="D63" t="s">
        <v>222</v>
      </c>
      <c r="E63" t="s">
        <v>223</v>
      </c>
      <c r="F63" t="s">
        <v>224</v>
      </c>
      <c r="G63" t="s">
        <v>225</v>
      </c>
      <c r="H63" t="s">
        <v>226</v>
      </c>
      <c r="I63" t="s">
        <v>227</v>
      </c>
      <c r="J63" t="s">
        <v>228</v>
      </c>
    </row>
    <row r="64" spans="1:122" x14ac:dyDescent="0.25">
      <c r="A64" t="s">
        <v>219</v>
      </c>
      <c r="B64" t="s">
        <v>220</v>
      </c>
      <c r="C64" t="s">
        <v>221</v>
      </c>
      <c r="D64" t="s">
        <v>222</v>
      </c>
      <c r="E64" t="s">
        <v>223</v>
      </c>
      <c r="F64" t="s">
        <v>224</v>
      </c>
      <c r="G64" t="s">
        <v>225</v>
      </c>
      <c r="H64" t="s">
        <v>226</v>
      </c>
      <c r="I64" t="s">
        <v>227</v>
      </c>
      <c r="J64" t="s">
        <v>228</v>
      </c>
    </row>
    <row r="65" spans="1:2" x14ac:dyDescent="0.25">
      <c r="A65" t="s">
        <v>156</v>
      </c>
      <c r="B65" t="s">
        <v>157</v>
      </c>
    </row>
    <row r="66" spans="1:2" x14ac:dyDescent="0.25">
      <c r="A66" t="s">
        <v>156</v>
      </c>
      <c r="B66" t="s">
        <v>157</v>
      </c>
    </row>
    <row r="67" spans="1:2" x14ac:dyDescent="0.25">
      <c r="A67" t="s">
        <v>498</v>
      </c>
      <c r="B67" t="s">
        <v>499</v>
      </c>
    </row>
    <row r="68" spans="1:2" x14ac:dyDescent="0.25">
      <c r="A68" t="s">
        <v>498</v>
      </c>
      <c r="B68" t="s">
        <v>499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BBDD Persona</vt:lpstr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Pacheco</dc:creator>
  <cp:lastModifiedBy>Kevin Pacheco</cp:lastModifiedBy>
  <dcterms:created xsi:type="dcterms:W3CDTF">2020-04-03T21:19:52Z</dcterms:created>
  <dcterms:modified xsi:type="dcterms:W3CDTF">2025-11-23T03:36:43Z</dcterms:modified>
</cp:coreProperties>
</file>